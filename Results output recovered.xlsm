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N:\6000 - 6999\6300 - 6399\6351 Elwick By Pass, Hartlepool\Calculations\171017 Cadna model\"/>
    </mc:Choice>
  </mc:AlternateContent>
  <bookViews>
    <workbookView xWindow="0" yWindow="0" windowWidth="28740" windowHeight="11580" activeTab="2" xr2:uid="{00000000-000D-0000-FFFF-FFFF00000000}"/>
  </bookViews>
  <sheets>
    <sheet name="Levels" sheetId="5" r:id="rId1"/>
    <sheet name="Building Insul Reg" sheetId="3" r:id="rId2"/>
    <sheet name="DMRB assessment" sheetId="2" r:id="rId3"/>
    <sheet name="CRTN survey and Cadna check" sheetId="6" r:id="rId4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" i="6" l="1" a="1"/>
  <c r="G23" i="6"/>
  <c r="G6" i="6" a="1"/>
  <c r="G6" i="6" s="1"/>
  <c r="N16" i="6" l="1"/>
  <c r="M16" i="6"/>
  <c r="M15" i="6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4" i="2"/>
  <c r="C5" i="2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1" i="2"/>
  <c r="D11" i="2"/>
  <c r="E11" i="2"/>
  <c r="F11" i="2"/>
  <c r="C12" i="2"/>
  <c r="D12" i="2"/>
  <c r="E12" i="2"/>
  <c r="F12" i="2"/>
  <c r="C13" i="2"/>
  <c r="D13" i="2"/>
  <c r="E13" i="2"/>
  <c r="F13" i="2"/>
  <c r="C14" i="2"/>
  <c r="D14" i="2"/>
  <c r="E14" i="2"/>
  <c r="F14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C29" i="2"/>
  <c r="D29" i="2"/>
  <c r="E29" i="2"/>
  <c r="F29" i="2"/>
  <c r="C30" i="2"/>
  <c r="D30" i="2"/>
  <c r="E30" i="2"/>
  <c r="F30" i="2"/>
  <c r="C31" i="2"/>
  <c r="D31" i="2"/>
  <c r="E31" i="2"/>
  <c r="F31" i="2"/>
  <c r="C32" i="2"/>
  <c r="D32" i="2"/>
  <c r="E32" i="2"/>
  <c r="F32" i="2"/>
  <c r="C33" i="2"/>
  <c r="D33" i="2"/>
  <c r="E33" i="2"/>
  <c r="F33" i="2"/>
  <c r="C34" i="2"/>
  <c r="D34" i="2"/>
  <c r="E34" i="2"/>
  <c r="F34" i="2"/>
  <c r="C35" i="2"/>
  <c r="D35" i="2"/>
  <c r="E35" i="2"/>
  <c r="F35" i="2"/>
  <c r="C36" i="2"/>
  <c r="D36" i="2"/>
  <c r="E36" i="2"/>
  <c r="F36" i="2"/>
  <c r="C37" i="2"/>
  <c r="D37" i="2"/>
  <c r="E37" i="2"/>
  <c r="F37" i="2"/>
  <c r="C38" i="2"/>
  <c r="D38" i="2"/>
  <c r="E38" i="2"/>
  <c r="F38" i="2"/>
  <c r="C39" i="2"/>
  <c r="D39" i="2"/>
  <c r="E39" i="2"/>
  <c r="F39" i="2"/>
  <c r="C40" i="2"/>
  <c r="D40" i="2"/>
  <c r="E40" i="2"/>
  <c r="F40" i="2"/>
  <c r="C41" i="2"/>
  <c r="D41" i="2"/>
  <c r="E41" i="2"/>
  <c r="F41" i="2"/>
  <c r="C42" i="2"/>
  <c r="D42" i="2"/>
  <c r="E42" i="2"/>
  <c r="F42" i="2"/>
  <c r="C43" i="2"/>
  <c r="D43" i="2"/>
  <c r="E43" i="2"/>
  <c r="F43" i="2"/>
  <c r="C44" i="2"/>
  <c r="D44" i="2"/>
  <c r="E44" i="2"/>
  <c r="F44" i="2"/>
  <c r="C45" i="2"/>
  <c r="D45" i="2"/>
  <c r="E45" i="2"/>
  <c r="F45" i="2"/>
  <c r="C46" i="2"/>
  <c r="D46" i="2"/>
  <c r="E46" i="2"/>
  <c r="F46" i="2"/>
  <c r="C47" i="2"/>
  <c r="D47" i="2"/>
  <c r="E47" i="2"/>
  <c r="F47" i="2"/>
  <c r="C48" i="2"/>
  <c r="D48" i="2"/>
  <c r="E48" i="2"/>
  <c r="F48" i="2"/>
  <c r="C49" i="2"/>
  <c r="D49" i="2"/>
  <c r="E49" i="2"/>
  <c r="F49" i="2"/>
  <c r="C50" i="2"/>
  <c r="D50" i="2"/>
  <c r="E50" i="2"/>
  <c r="F50" i="2"/>
  <c r="C51" i="2"/>
  <c r="D51" i="2"/>
  <c r="E51" i="2"/>
  <c r="F51" i="2"/>
  <c r="C52" i="2"/>
  <c r="D52" i="2"/>
  <c r="E52" i="2"/>
  <c r="F52" i="2"/>
  <c r="C53" i="2"/>
  <c r="D53" i="2"/>
  <c r="E53" i="2"/>
  <c r="F53" i="2"/>
  <c r="C54" i="2"/>
  <c r="D54" i="2"/>
  <c r="E54" i="2"/>
  <c r="F54" i="2"/>
  <c r="C55" i="2"/>
  <c r="D55" i="2"/>
  <c r="E55" i="2"/>
  <c r="F55" i="2"/>
  <c r="C56" i="2"/>
  <c r="D56" i="2"/>
  <c r="E56" i="2"/>
  <c r="F56" i="2"/>
  <c r="C57" i="2"/>
  <c r="D57" i="2"/>
  <c r="E57" i="2"/>
  <c r="F57" i="2"/>
  <c r="C58" i="2"/>
  <c r="D58" i="2"/>
  <c r="E58" i="2"/>
  <c r="F58" i="2"/>
  <c r="C59" i="2"/>
  <c r="D59" i="2"/>
  <c r="E59" i="2"/>
  <c r="F59" i="2"/>
  <c r="C60" i="2"/>
  <c r="D60" i="2"/>
  <c r="E60" i="2"/>
  <c r="F60" i="2"/>
  <c r="C61" i="2"/>
  <c r="D61" i="2"/>
  <c r="E61" i="2"/>
  <c r="F61" i="2"/>
  <c r="C62" i="2"/>
  <c r="D62" i="2"/>
  <c r="E62" i="2"/>
  <c r="F62" i="2"/>
  <c r="C63" i="2"/>
  <c r="D63" i="2"/>
  <c r="E63" i="2"/>
  <c r="F63" i="2"/>
  <c r="C64" i="2"/>
  <c r="D64" i="2"/>
  <c r="E64" i="2"/>
  <c r="F64" i="2"/>
  <c r="C65" i="2"/>
  <c r="D65" i="2"/>
  <c r="E65" i="2"/>
  <c r="F65" i="2"/>
  <c r="C66" i="2"/>
  <c r="D66" i="2"/>
  <c r="E66" i="2"/>
  <c r="F66" i="2"/>
  <c r="C67" i="2"/>
  <c r="D67" i="2"/>
  <c r="E67" i="2"/>
  <c r="F67" i="2"/>
  <c r="C68" i="2"/>
  <c r="D68" i="2"/>
  <c r="E68" i="2"/>
  <c r="F68" i="2"/>
  <c r="C69" i="2"/>
  <c r="D69" i="2"/>
  <c r="E69" i="2"/>
  <c r="F69" i="2"/>
  <c r="C70" i="2"/>
  <c r="D70" i="2"/>
  <c r="E70" i="2"/>
  <c r="F70" i="2"/>
  <c r="C71" i="2"/>
  <c r="D71" i="2"/>
  <c r="E71" i="2"/>
  <c r="F71" i="2"/>
  <c r="C72" i="2"/>
  <c r="D72" i="2"/>
  <c r="E72" i="2"/>
  <c r="F72" i="2"/>
  <c r="C73" i="2"/>
  <c r="D73" i="2"/>
  <c r="E73" i="2"/>
  <c r="F73" i="2"/>
  <c r="C74" i="2"/>
  <c r="D74" i="2"/>
  <c r="E74" i="2"/>
  <c r="F74" i="2"/>
  <c r="C75" i="2"/>
  <c r="D75" i="2"/>
  <c r="E75" i="2"/>
  <c r="F75" i="2"/>
  <c r="C76" i="2"/>
  <c r="D76" i="2"/>
  <c r="E76" i="2"/>
  <c r="F76" i="2"/>
  <c r="C77" i="2"/>
  <c r="D77" i="2"/>
  <c r="E77" i="2"/>
  <c r="F77" i="2"/>
  <c r="C78" i="2"/>
  <c r="D78" i="2"/>
  <c r="E78" i="2"/>
  <c r="F78" i="2"/>
  <c r="C79" i="2"/>
  <c r="D79" i="2"/>
  <c r="E79" i="2"/>
  <c r="F79" i="2"/>
  <c r="C80" i="2"/>
  <c r="D80" i="2"/>
  <c r="E80" i="2"/>
  <c r="F80" i="2"/>
  <c r="C81" i="2"/>
  <c r="D81" i="2"/>
  <c r="E81" i="2"/>
  <c r="F81" i="2"/>
  <c r="C82" i="2"/>
  <c r="D82" i="2"/>
  <c r="E82" i="2"/>
  <c r="F82" i="2"/>
  <c r="C83" i="2"/>
  <c r="D83" i="2"/>
  <c r="E83" i="2"/>
  <c r="F83" i="2"/>
  <c r="C84" i="2"/>
  <c r="D84" i="2"/>
  <c r="E84" i="2"/>
  <c r="F84" i="2"/>
  <c r="C85" i="2"/>
  <c r="D85" i="2"/>
  <c r="E85" i="2"/>
  <c r="F85" i="2"/>
  <c r="C86" i="2"/>
  <c r="D86" i="2"/>
  <c r="E86" i="2"/>
  <c r="F86" i="2"/>
  <c r="C87" i="2"/>
  <c r="D87" i="2"/>
  <c r="E87" i="2"/>
  <c r="F87" i="2"/>
  <c r="C88" i="2"/>
  <c r="D88" i="2"/>
  <c r="E88" i="2"/>
  <c r="F88" i="2"/>
  <c r="C89" i="2"/>
  <c r="D89" i="2"/>
  <c r="E89" i="2"/>
  <c r="F89" i="2"/>
  <c r="C90" i="2"/>
  <c r="D90" i="2"/>
  <c r="E90" i="2"/>
  <c r="F90" i="2"/>
  <c r="C91" i="2"/>
  <c r="D91" i="2"/>
  <c r="E91" i="2"/>
  <c r="F91" i="2"/>
  <c r="C92" i="2"/>
  <c r="D92" i="2"/>
  <c r="E92" i="2"/>
  <c r="F92" i="2"/>
  <c r="C93" i="2"/>
  <c r="D93" i="2"/>
  <c r="E93" i="2"/>
  <c r="F93" i="2"/>
  <c r="C94" i="2"/>
  <c r="D94" i="2"/>
  <c r="E94" i="2"/>
  <c r="F94" i="2"/>
  <c r="C95" i="2"/>
  <c r="D95" i="2"/>
  <c r="E95" i="2"/>
  <c r="F95" i="2"/>
  <c r="C96" i="2"/>
  <c r="D96" i="2"/>
  <c r="E96" i="2"/>
  <c r="F96" i="2"/>
  <c r="C97" i="2"/>
  <c r="D97" i="2"/>
  <c r="E97" i="2"/>
  <c r="F97" i="2"/>
  <c r="C98" i="2"/>
  <c r="D98" i="2"/>
  <c r="E98" i="2"/>
  <c r="F98" i="2"/>
  <c r="C99" i="2"/>
  <c r="D99" i="2"/>
  <c r="E99" i="2"/>
  <c r="F99" i="2"/>
  <c r="C100" i="2"/>
  <c r="D100" i="2"/>
  <c r="E100" i="2"/>
  <c r="F100" i="2"/>
  <c r="C101" i="2"/>
  <c r="D101" i="2"/>
  <c r="E101" i="2"/>
  <c r="F101" i="2"/>
  <c r="C102" i="2"/>
  <c r="D102" i="2"/>
  <c r="E102" i="2"/>
  <c r="F102" i="2"/>
  <c r="C103" i="2"/>
  <c r="D103" i="2"/>
  <c r="E103" i="2"/>
  <c r="F103" i="2"/>
  <c r="C104" i="2"/>
  <c r="D104" i="2"/>
  <c r="E104" i="2"/>
  <c r="F104" i="2"/>
  <c r="C105" i="2"/>
  <c r="D105" i="2"/>
  <c r="E105" i="2"/>
  <c r="F105" i="2"/>
  <c r="C106" i="2"/>
  <c r="D106" i="2"/>
  <c r="E106" i="2"/>
  <c r="F106" i="2"/>
  <c r="C107" i="2"/>
  <c r="D107" i="2"/>
  <c r="E107" i="2"/>
  <c r="F107" i="2"/>
  <c r="C108" i="2"/>
  <c r="D108" i="2"/>
  <c r="E108" i="2"/>
  <c r="F108" i="2"/>
  <c r="C109" i="2"/>
  <c r="D109" i="2"/>
  <c r="E109" i="2"/>
  <c r="F109" i="2"/>
  <c r="C110" i="2"/>
  <c r="D110" i="2"/>
  <c r="E110" i="2"/>
  <c r="F110" i="2"/>
  <c r="C111" i="2"/>
  <c r="D111" i="2"/>
  <c r="E111" i="2"/>
  <c r="F111" i="2"/>
  <c r="C112" i="2"/>
  <c r="D112" i="2"/>
  <c r="E112" i="2"/>
  <c r="F112" i="2"/>
  <c r="C113" i="2"/>
  <c r="D113" i="2"/>
  <c r="E113" i="2"/>
  <c r="F113" i="2"/>
  <c r="C114" i="2"/>
  <c r="D114" i="2"/>
  <c r="E114" i="2"/>
  <c r="F114" i="2"/>
  <c r="C115" i="2"/>
  <c r="D115" i="2"/>
  <c r="E115" i="2"/>
  <c r="F115" i="2"/>
  <c r="C116" i="2"/>
  <c r="D116" i="2"/>
  <c r="E116" i="2"/>
  <c r="F116" i="2"/>
  <c r="C117" i="2"/>
  <c r="D117" i="2"/>
  <c r="E117" i="2"/>
  <c r="F117" i="2"/>
  <c r="C118" i="2"/>
  <c r="D118" i="2"/>
  <c r="E118" i="2"/>
  <c r="F118" i="2"/>
  <c r="C119" i="2"/>
  <c r="D119" i="2"/>
  <c r="E119" i="2"/>
  <c r="F119" i="2"/>
  <c r="C120" i="2"/>
  <c r="D120" i="2"/>
  <c r="E120" i="2"/>
  <c r="F120" i="2"/>
  <c r="C121" i="2"/>
  <c r="D121" i="2"/>
  <c r="E121" i="2"/>
  <c r="F121" i="2"/>
  <c r="C122" i="2"/>
  <c r="D122" i="2"/>
  <c r="E122" i="2"/>
  <c r="F122" i="2"/>
  <c r="C123" i="2"/>
  <c r="D123" i="2"/>
  <c r="E123" i="2"/>
  <c r="F123" i="2"/>
  <c r="C124" i="2"/>
  <c r="D124" i="2"/>
  <c r="E124" i="2"/>
  <c r="F124" i="2"/>
  <c r="C125" i="2"/>
  <c r="D125" i="2"/>
  <c r="E125" i="2"/>
  <c r="F125" i="2"/>
  <c r="C126" i="2"/>
  <c r="D126" i="2"/>
  <c r="E126" i="2"/>
  <c r="F126" i="2"/>
  <c r="C127" i="2"/>
  <c r="D127" i="2"/>
  <c r="E127" i="2"/>
  <c r="F127" i="2"/>
  <c r="C128" i="2"/>
  <c r="D128" i="2"/>
  <c r="E128" i="2"/>
  <c r="F128" i="2"/>
  <c r="C129" i="2"/>
  <c r="D129" i="2"/>
  <c r="E129" i="2"/>
  <c r="F129" i="2"/>
  <c r="C130" i="2"/>
  <c r="D130" i="2"/>
  <c r="E130" i="2"/>
  <c r="F130" i="2"/>
  <c r="C131" i="2"/>
  <c r="D131" i="2"/>
  <c r="E131" i="2"/>
  <c r="F131" i="2"/>
  <c r="C132" i="2"/>
  <c r="D132" i="2"/>
  <c r="E132" i="2"/>
  <c r="F132" i="2"/>
  <c r="C133" i="2"/>
  <c r="D133" i="2"/>
  <c r="E133" i="2"/>
  <c r="F133" i="2"/>
  <c r="C134" i="2"/>
  <c r="D134" i="2"/>
  <c r="E134" i="2"/>
  <c r="F134" i="2"/>
  <c r="C135" i="2"/>
  <c r="D135" i="2"/>
  <c r="E135" i="2"/>
  <c r="F135" i="2"/>
  <c r="C136" i="2"/>
  <c r="D136" i="2"/>
  <c r="E136" i="2"/>
  <c r="F136" i="2"/>
  <c r="C137" i="2"/>
  <c r="D137" i="2"/>
  <c r="E137" i="2"/>
  <c r="F137" i="2"/>
  <c r="C138" i="2"/>
  <c r="D138" i="2"/>
  <c r="E138" i="2"/>
  <c r="F138" i="2"/>
  <c r="C139" i="2"/>
  <c r="D139" i="2"/>
  <c r="E139" i="2"/>
  <c r="F139" i="2"/>
  <c r="C140" i="2"/>
  <c r="D140" i="2"/>
  <c r="E140" i="2"/>
  <c r="F140" i="2"/>
  <c r="C141" i="2"/>
  <c r="D141" i="2"/>
  <c r="E141" i="2"/>
  <c r="F141" i="2"/>
  <c r="C142" i="2"/>
  <c r="D142" i="2"/>
  <c r="E142" i="2"/>
  <c r="F142" i="2"/>
  <c r="C143" i="2"/>
  <c r="D143" i="2"/>
  <c r="E143" i="2"/>
  <c r="F143" i="2"/>
  <c r="C144" i="2"/>
  <c r="D144" i="2"/>
  <c r="E144" i="2"/>
  <c r="F144" i="2"/>
  <c r="C145" i="2"/>
  <c r="D145" i="2"/>
  <c r="E145" i="2"/>
  <c r="F145" i="2"/>
  <c r="C146" i="2"/>
  <c r="D146" i="2"/>
  <c r="E146" i="2"/>
  <c r="F146" i="2"/>
  <c r="C147" i="2"/>
  <c r="D147" i="2"/>
  <c r="E147" i="2"/>
  <c r="F147" i="2"/>
  <c r="C148" i="2"/>
  <c r="D148" i="2"/>
  <c r="E148" i="2"/>
  <c r="F148" i="2"/>
  <c r="C149" i="2"/>
  <c r="D149" i="2"/>
  <c r="E149" i="2"/>
  <c r="F149" i="2"/>
  <c r="C150" i="2"/>
  <c r="D150" i="2"/>
  <c r="E150" i="2"/>
  <c r="F150" i="2"/>
  <c r="C151" i="2"/>
  <c r="D151" i="2"/>
  <c r="E151" i="2"/>
  <c r="F151" i="2"/>
  <c r="C152" i="2"/>
  <c r="D152" i="2"/>
  <c r="E152" i="2"/>
  <c r="F152" i="2"/>
  <c r="C153" i="2"/>
  <c r="D153" i="2"/>
  <c r="E153" i="2"/>
  <c r="F153" i="2"/>
  <c r="C154" i="2"/>
  <c r="D154" i="2"/>
  <c r="E154" i="2"/>
  <c r="F154" i="2"/>
  <c r="C155" i="2"/>
  <c r="D155" i="2"/>
  <c r="E155" i="2"/>
  <c r="F155" i="2"/>
  <c r="C156" i="2"/>
  <c r="D156" i="2"/>
  <c r="E156" i="2"/>
  <c r="F156" i="2"/>
  <c r="C157" i="2"/>
  <c r="D157" i="2"/>
  <c r="E157" i="2"/>
  <c r="F157" i="2"/>
  <c r="C158" i="2"/>
  <c r="D158" i="2"/>
  <c r="E158" i="2"/>
  <c r="F158" i="2"/>
  <c r="C159" i="2"/>
  <c r="D159" i="2"/>
  <c r="E159" i="2"/>
  <c r="F159" i="2"/>
  <c r="C160" i="2"/>
  <c r="D160" i="2"/>
  <c r="E160" i="2"/>
  <c r="F160" i="2"/>
  <c r="C161" i="2"/>
  <c r="D161" i="2"/>
  <c r="E161" i="2"/>
  <c r="F161" i="2"/>
  <c r="C162" i="2"/>
  <c r="D162" i="2"/>
  <c r="E162" i="2"/>
  <c r="F162" i="2"/>
  <c r="C163" i="2"/>
  <c r="D163" i="2"/>
  <c r="E163" i="2"/>
  <c r="F163" i="2"/>
  <c r="C164" i="2"/>
  <c r="D164" i="2"/>
  <c r="E164" i="2"/>
  <c r="F164" i="2"/>
  <c r="C165" i="2"/>
  <c r="D165" i="2"/>
  <c r="E165" i="2"/>
  <c r="F165" i="2"/>
  <c r="C166" i="2"/>
  <c r="D166" i="2"/>
  <c r="E166" i="2"/>
  <c r="F166" i="2"/>
  <c r="C167" i="2"/>
  <c r="D167" i="2"/>
  <c r="E167" i="2"/>
  <c r="F167" i="2"/>
  <c r="C168" i="2"/>
  <c r="D168" i="2"/>
  <c r="E168" i="2"/>
  <c r="F168" i="2"/>
  <c r="C169" i="2"/>
  <c r="D169" i="2"/>
  <c r="E169" i="2"/>
  <c r="F169" i="2"/>
  <c r="C170" i="2"/>
  <c r="D170" i="2"/>
  <c r="E170" i="2"/>
  <c r="F170" i="2"/>
  <c r="C171" i="2"/>
  <c r="D171" i="2"/>
  <c r="E171" i="2"/>
  <c r="F171" i="2"/>
  <c r="C172" i="2"/>
  <c r="D172" i="2"/>
  <c r="E172" i="2"/>
  <c r="F172" i="2"/>
  <c r="C173" i="2"/>
  <c r="D173" i="2"/>
  <c r="E173" i="2"/>
  <c r="F173" i="2"/>
  <c r="C174" i="2"/>
  <c r="D174" i="2"/>
  <c r="E174" i="2"/>
  <c r="F174" i="2"/>
  <c r="C175" i="2"/>
  <c r="D175" i="2"/>
  <c r="E175" i="2"/>
  <c r="F175" i="2"/>
  <c r="C176" i="2"/>
  <c r="D176" i="2"/>
  <c r="E176" i="2"/>
  <c r="F176" i="2"/>
  <c r="C177" i="2"/>
  <c r="D177" i="2"/>
  <c r="E177" i="2"/>
  <c r="F177" i="2"/>
  <c r="C178" i="2"/>
  <c r="D178" i="2"/>
  <c r="E178" i="2"/>
  <c r="F178" i="2"/>
  <c r="C179" i="2"/>
  <c r="D179" i="2"/>
  <c r="E179" i="2"/>
  <c r="F179" i="2"/>
  <c r="C180" i="2"/>
  <c r="D180" i="2"/>
  <c r="E180" i="2"/>
  <c r="F180" i="2"/>
  <c r="C181" i="2"/>
  <c r="D181" i="2"/>
  <c r="E181" i="2"/>
  <c r="F181" i="2"/>
  <c r="C182" i="2"/>
  <c r="D182" i="2"/>
  <c r="E182" i="2"/>
  <c r="F182" i="2"/>
  <c r="C183" i="2"/>
  <c r="D183" i="2"/>
  <c r="E183" i="2"/>
  <c r="F183" i="2"/>
  <c r="C184" i="2"/>
  <c r="D184" i="2"/>
  <c r="E184" i="2"/>
  <c r="F184" i="2"/>
  <c r="C185" i="2"/>
  <c r="D185" i="2"/>
  <c r="E185" i="2"/>
  <c r="F185" i="2"/>
  <c r="C186" i="2"/>
  <c r="D186" i="2"/>
  <c r="E186" i="2"/>
  <c r="F186" i="2"/>
  <c r="C187" i="2"/>
  <c r="D187" i="2"/>
  <c r="E187" i="2"/>
  <c r="F187" i="2"/>
  <c r="C188" i="2"/>
  <c r="D188" i="2"/>
  <c r="E188" i="2"/>
  <c r="F188" i="2"/>
  <c r="C189" i="2"/>
  <c r="D189" i="2"/>
  <c r="E189" i="2"/>
  <c r="F189" i="2"/>
  <c r="C190" i="2"/>
  <c r="D190" i="2"/>
  <c r="E190" i="2"/>
  <c r="F190" i="2"/>
  <c r="F4" i="2"/>
  <c r="E4" i="2"/>
  <c r="D4" i="2"/>
  <c r="C4" i="2"/>
  <c r="P40" i="2"/>
  <c r="P56" i="2"/>
  <c r="P72" i="2"/>
  <c r="P88" i="2"/>
  <c r="P104" i="2"/>
  <c r="P120" i="2"/>
  <c r="P136" i="2"/>
  <c r="P152" i="2"/>
  <c r="P168" i="2"/>
  <c r="P184" i="2"/>
  <c r="P46" i="2"/>
  <c r="P74" i="2"/>
  <c r="P106" i="2"/>
  <c r="P138" i="2"/>
  <c r="P170" i="2"/>
  <c r="P39" i="2"/>
  <c r="P71" i="2"/>
  <c r="P107" i="2"/>
  <c r="P135" i="2"/>
  <c r="P171" i="2"/>
  <c r="P33" i="2"/>
  <c r="P49" i="2"/>
  <c r="P65" i="2"/>
  <c r="P81" i="2"/>
  <c r="P97" i="2"/>
  <c r="P113" i="2"/>
  <c r="P129" i="2"/>
  <c r="P145" i="2"/>
  <c r="P161" i="2"/>
  <c r="P177" i="2"/>
  <c r="P30" i="2"/>
  <c r="P70" i="2"/>
  <c r="P98" i="2"/>
  <c r="P134" i="2"/>
  <c r="P166" i="2"/>
  <c r="P31" i="2"/>
  <c r="P67" i="2"/>
  <c r="P95" i="2"/>
  <c r="P131" i="2"/>
  <c r="P163" i="2"/>
  <c r="P21" i="2"/>
  <c r="P23" i="2"/>
  <c r="P20" i="2"/>
  <c r="P17" i="2"/>
  <c r="P14" i="2"/>
  <c r="P11" i="2"/>
  <c r="H22" i="2"/>
  <c r="H38" i="2"/>
  <c r="H54" i="2"/>
  <c r="H70" i="2"/>
  <c r="H86" i="2"/>
  <c r="H102" i="2"/>
  <c r="H118" i="2"/>
  <c r="H134" i="2"/>
  <c r="H150" i="2"/>
  <c r="H166" i="2"/>
  <c r="H182" i="2"/>
  <c r="H27" i="2"/>
  <c r="H43" i="2"/>
  <c r="H59" i="2"/>
  <c r="H75" i="2"/>
  <c r="H91" i="2"/>
  <c r="H107" i="2"/>
  <c r="H123" i="2"/>
  <c r="H139" i="2"/>
  <c r="H155" i="2"/>
  <c r="H171" i="2"/>
  <c r="H187" i="2"/>
  <c r="H36" i="2"/>
  <c r="H52" i="2"/>
  <c r="H68" i="2"/>
  <c r="H84" i="2"/>
  <c r="H100" i="2"/>
  <c r="H116" i="2"/>
  <c r="H132" i="2"/>
  <c r="H148" i="2"/>
  <c r="H164" i="2"/>
  <c r="H180" i="2"/>
  <c r="H41" i="2"/>
  <c r="H105" i="2"/>
  <c r="H169" i="2"/>
  <c r="H53" i="2"/>
  <c r="H165" i="2"/>
  <c r="H77" i="2"/>
  <c r="H141" i="2"/>
  <c r="H33" i="2"/>
  <c r="H113" i="2"/>
  <c r="H37" i="2"/>
  <c r="H181" i="2"/>
  <c r="H18" i="2"/>
  <c r="H19" i="2"/>
  <c r="H20" i="2"/>
  <c r="H17" i="2"/>
  <c r="K5" i="2"/>
  <c r="P32" i="2"/>
  <c r="P80" i="2"/>
  <c r="P112" i="2"/>
  <c r="P144" i="2"/>
  <c r="P176" i="2"/>
  <c r="P58" i="2"/>
  <c r="P122" i="2"/>
  <c r="P190" i="2"/>
  <c r="P91" i="2"/>
  <c r="P151" i="2"/>
  <c r="P41" i="2"/>
  <c r="P73" i="2"/>
  <c r="P105" i="2"/>
  <c r="P137" i="2"/>
  <c r="P153" i="2"/>
  <c r="P185" i="2"/>
  <c r="P86" i="2"/>
  <c r="P150" i="2"/>
  <c r="P51" i="2"/>
  <c r="P111" i="2"/>
  <c r="P175" i="2"/>
  <c r="P24" i="2"/>
  <c r="P8" i="2"/>
  <c r="H30" i="2"/>
  <c r="H46" i="2"/>
  <c r="H78" i="2"/>
  <c r="H110" i="2"/>
  <c r="H142" i="2"/>
  <c r="H190" i="2"/>
  <c r="H51" i="2"/>
  <c r="H83" i="2"/>
  <c r="H115" i="2"/>
  <c r="P28" i="2"/>
  <c r="P44" i="2"/>
  <c r="P60" i="2"/>
  <c r="P76" i="2"/>
  <c r="P92" i="2"/>
  <c r="P108" i="2"/>
  <c r="P124" i="2"/>
  <c r="P140" i="2"/>
  <c r="P156" i="2"/>
  <c r="P172" i="2"/>
  <c r="P188" i="2"/>
  <c r="P50" i="2"/>
  <c r="P82" i="2"/>
  <c r="P114" i="2"/>
  <c r="P146" i="2"/>
  <c r="P182" i="2"/>
  <c r="P47" i="2"/>
  <c r="P83" i="2"/>
  <c r="P115" i="2"/>
  <c r="P143" i="2"/>
  <c r="P179" i="2"/>
  <c r="P37" i="2"/>
  <c r="P53" i="2"/>
  <c r="P69" i="2"/>
  <c r="P85" i="2"/>
  <c r="P101" i="2"/>
  <c r="P117" i="2"/>
  <c r="P133" i="2"/>
  <c r="P149" i="2"/>
  <c r="P165" i="2"/>
  <c r="P181" i="2"/>
  <c r="P42" i="2"/>
  <c r="P78" i="2"/>
  <c r="P110" i="2"/>
  <c r="P142" i="2"/>
  <c r="P174" i="2"/>
  <c r="P43" i="2"/>
  <c r="P75" i="2"/>
  <c r="P103" i="2"/>
  <c r="P139" i="2"/>
  <c r="P167" i="2"/>
  <c r="P25" i="2"/>
  <c r="P27" i="2"/>
  <c r="P5" i="2"/>
  <c r="P16" i="2"/>
  <c r="P18" i="2"/>
  <c r="P15" i="2"/>
  <c r="H26" i="2"/>
  <c r="H42" i="2"/>
  <c r="H58" i="2"/>
  <c r="H74" i="2"/>
  <c r="H90" i="2"/>
  <c r="H106" i="2"/>
  <c r="H122" i="2"/>
  <c r="H138" i="2"/>
  <c r="H154" i="2"/>
  <c r="H170" i="2"/>
  <c r="H186" i="2"/>
  <c r="H31" i="2"/>
  <c r="H47" i="2"/>
  <c r="H63" i="2"/>
  <c r="H79" i="2"/>
  <c r="H95" i="2"/>
  <c r="H111" i="2"/>
  <c r="H127" i="2"/>
  <c r="H143" i="2"/>
  <c r="H159" i="2"/>
  <c r="H175" i="2"/>
  <c r="H24" i="2"/>
  <c r="H40" i="2"/>
  <c r="H56" i="2"/>
  <c r="H72" i="2"/>
  <c r="H88" i="2"/>
  <c r="H104" i="2"/>
  <c r="H120" i="2"/>
  <c r="H136" i="2"/>
  <c r="H152" i="2"/>
  <c r="H168" i="2"/>
  <c r="H184" i="2"/>
  <c r="H57" i="2"/>
  <c r="H121" i="2"/>
  <c r="H185" i="2"/>
  <c r="H69" i="2"/>
  <c r="H29" i="2"/>
  <c r="H93" i="2"/>
  <c r="H157" i="2"/>
  <c r="H65" i="2"/>
  <c r="H129" i="2"/>
  <c r="H85" i="2"/>
  <c r="H6" i="2"/>
  <c r="H7" i="2"/>
  <c r="H8" i="2"/>
  <c r="H5" i="2"/>
  <c r="H21" i="2"/>
  <c r="K4" i="2"/>
  <c r="P48" i="2"/>
  <c r="P64" i="2"/>
  <c r="P96" i="2"/>
  <c r="P128" i="2"/>
  <c r="P160" i="2"/>
  <c r="P34" i="2"/>
  <c r="P90" i="2"/>
  <c r="P154" i="2"/>
  <c r="P55" i="2"/>
  <c r="P123" i="2"/>
  <c r="P187" i="2"/>
  <c r="P57" i="2"/>
  <c r="P89" i="2"/>
  <c r="P121" i="2"/>
  <c r="P169" i="2"/>
  <c r="P54" i="2"/>
  <c r="P118" i="2"/>
  <c r="P178" i="2"/>
  <c r="P79" i="2"/>
  <c r="P147" i="2"/>
  <c r="P22" i="2"/>
  <c r="P9" i="2"/>
  <c r="P6" i="2"/>
  <c r="P12" i="2"/>
  <c r="H62" i="2"/>
  <c r="H94" i="2"/>
  <c r="H126" i="2"/>
  <c r="H158" i="2"/>
  <c r="H174" i="2"/>
  <c r="H35" i="2"/>
  <c r="H67" i="2"/>
  <c r="H99" i="2"/>
  <c r="P68" i="2"/>
  <c r="P132" i="2"/>
  <c r="P38" i="2"/>
  <c r="P162" i="2"/>
  <c r="P127" i="2"/>
  <c r="P61" i="2"/>
  <c r="P125" i="2"/>
  <c r="P189" i="2"/>
  <c r="P158" i="2"/>
  <c r="P119" i="2"/>
  <c r="P19" i="2"/>
  <c r="P4" i="2"/>
  <c r="H82" i="2"/>
  <c r="H146" i="2"/>
  <c r="H39" i="2"/>
  <c r="H103" i="2"/>
  <c r="H147" i="2"/>
  <c r="H179" i="2"/>
  <c r="H44" i="2"/>
  <c r="H76" i="2"/>
  <c r="H108" i="2"/>
  <c r="H140" i="2"/>
  <c r="H172" i="2"/>
  <c r="H73" i="2"/>
  <c r="H49" i="2"/>
  <c r="H45" i="2"/>
  <c r="H173" i="2"/>
  <c r="H145" i="2"/>
  <c r="H10" i="2"/>
  <c r="H12" i="2"/>
  <c r="H4" i="2"/>
  <c r="P36" i="2"/>
  <c r="P164" i="2"/>
  <c r="P63" i="2"/>
  <c r="P93" i="2"/>
  <c r="P94" i="2"/>
  <c r="P183" i="2"/>
  <c r="H50" i="2"/>
  <c r="H178" i="2"/>
  <c r="H131" i="2"/>
  <c r="H28" i="2"/>
  <c r="H92" i="2"/>
  <c r="H156" i="2"/>
  <c r="H137" i="2"/>
  <c r="H109" i="2"/>
  <c r="H117" i="2"/>
  <c r="H9" i="2"/>
  <c r="P116" i="2"/>
  <c r="P130" i="2"/>
  <c r="P45" i="2"/>
  <c r="P173" i="2"/>
  <c r="P87" i="2"/>
  <c r="P7" i="2"/>
  <c r="H130" i="2"/>
  <c r="H87" i="2"/>
  <c r="H167" i="2"/>
  <c r="H64" i="2"/>
  <c r="H128" i="2"/>
  <c r="H25" i="2"/>
  <c r="H125" i="2"/>
  <c r="H149" i="2"/>
  <c r="H13" i="2"/>
  <c r="P84" i="2"/>
  <c r="P148" i="2"/>
  <c r="P66" i="2"/>
  <c r="P35" i="2"/>
  <c r="P159" i="2"/>
  <c r="P77" i="2"/>
  <c r="P141" i="2"/>
  <c r="P62" i="2"/>
  <c r="P186" i="2"/>
  <c r="P155" i="2"/>
  <c r="P13" i="2"/>
  <c r="H34" i="2"/>
  <c r="H98" i="2"/>
  <c r="H162" i="2"/>
  <c r="H55" i="2"/>
  <c r="H119" i="2"/>
  <c r="H151" i="2"/>
  <c r="H183" i="2"/>
  <c r="H48" i="2"/>
  <c r="H80" i="2"/>
  <c r="H112" i="2"/>
  <c r="H144" i="2"/>
  <c r="H176" i="2"/>
  <c r="H89" i="2"/>
  <c r="H177" i="2"/>
  <c r="H61" i="2"/>
  <c r="H189" i="2"/>
  <c r="H161" i="2"/>
  <c r="H14" i="2"/>
  <c r="H16" i="2"/>
  <c r="K7" i="2"/>
  <c r="P100" i="2"/>
  <c r="P102" i="2"/>
  <c r="P29" i="2"/>
  <c r="P157" i="2"/>
  <c r="P59" i="2"/>
  <c r="P10" i="2"/>
  <c r="H114" i="2"/>
  <c r="H71" i="2"/>
  <c r="H163" i="2"/>
  <c r="H60" i="2"/>
  <c r="H124" i="2"/>
  <c r="H188" i="2"/>
  <c r="H101" i="2"/>
  <c r="H81" i="2"/>
  <c r="H11" i="2"/>
  <c r="P52" i="2"/>
  <c r="P180" i="2"/>
  <c r="P99" i="2"/>
  <c r="P109" i="2"/>
  <c r="P126" i="2"/>
  <c r="P26" i="2"/>
  <c r="H66" i="2"/>
  <c r="H23" i="2"/>
  <c r="H135" i="2"/>
  <c r="H32" i="2"/>
  <c r="H96" i="2"/>
  <c r="H160" i="2"/>
  <c r="H153" i="2"/>
  <c r="H133" i="2"/>
  <c r="H97" i="2"/>
  <c r="H15" i="2"/>
  <c r="W53" i="2"/>
  <c r="W48" i="2"/>
  <c r="W47" i="2"/>
  <c r="W52" i="2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5" i="3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4" i="2"/>
  <c r="O6" i="2"/>
  <c r="O10" i="2"/>
  <c r="O14" i="2"/>
  <c r="O18" i="2"/>
  <c r="O22" i="2"/>
  <c r="O26" i="2"/>
  <c r="O30" i="2"/>
  <c r="O34" i="2"/>
  <c r="O38" i="2"/>
  <c r="O42" i="2"/>
  <c r="O46" i="2"/>
  <c r="O50" i="2"/>
  <c r="O54" i="2"/>
  <c r="O58" i="2"/>
  <c r="O62" i="2"/>
  <c r="O66" i="2"/>
  <c r="O70" i="2"/>
  <c r="O74" i="2"/>
  <c r="O78" i="2"/>
  <c r="O82" i="2"/>
  <c r="O86" i="2"/>
  <c r="O90" i="2"/>
  <c r="O94" i="2"/>
  <c r="O98" i="2"/>
  <c r="O102" i="2"/>
  <c r="O106" i="2"/>
  <c r="O110" i="2"/>
  <c r="O114" i="2"/>
  <c r="O118" i="2"/>
  <c r="O122" i="2"/>
  <c r="O126" i="2"/>
  <c r="O130" i="2"/>
  <c r="O134" i="2"/>
  <c r="O138" i="2"/>
  <c r="O142" i="2"/>
  <c r="O146" i="2"/>
  <c r="O150" i="2"/>
  <c r="O154" i="2"/>
  <c r="O158" i="2"/>
  <c r="O162" i="2"/>
  <c r="O166" i="2"/>
  <c r="O170" i="2"/>
  <c r="O174" i="2"/>
  <c r="O178" i="2"/>
  <c r="O182" i="2"/>
  <c r="O186" i="2"/>
  <c r="O190" i="2"/>
  <c r="N45" i="2"/>
  <c r="N109" i="2"/>
  <c r="N173" i="2"/>
  <c r="N18" i="2"/>
  <c r="N82" i="2"/>
  <c r="N146" i="2"/>
  <c r="N40" i="2"/>
  <c r="N7" i="2"/>
  <c r="N71" i="2"/>
  <c r="N135" i="2"/>
  <c r="N28" i="2"/>
  <c r="N4" i="2"/>
  <c r="N126" i="2"/>
  <c r="N99" i="2"/>
  <c r="N17" i="2"/>
  <c r="N81" i="2"/>
  <c r="N145" i="2"/>
  <c r="N148" i="2"/>
  <c r="N54" i="2"/>
  <c r="N118" i="2"/>
  <c r="N182" i="2"/>
  <c r="N116" i="2"/>
  <c r="N43" i="2"/>
  <c r="N107" i="2"/>
  <c r="N171" i="2"/>
  <c r="N112" i="2"/>
  <c r="V40" i="2"/>
  <c r="N188" i="2"/>
  <c r="N88" i="2"/>
  <c r="N37" i="2"/>
  <c r="N101" i="2"/>
  <c r="N165" i="2"/>
  <c r="N10" i="2"/>
  <c r="N74" i="2"/>
  <c r="N138" i="2"/>
  <c r="N24" i="2"/>
  <c r="N176" i="2"/>
  <c r="N63" i="2"/>
  <c r="N127" i="2"/>
  <c r="N8" i="2"/>
  <c r="N168" i="2"/>
  <c r="N62" i="2"/>
  <c r="N140" i="2"/>
  <c r="N20" i="2"/>
  <c r="N25" i="2"/>
  <c r="N89" i="2"/>
  <c r="N169" i="2"/>
  <c r="N78" i="2"/>
  <c r="N179" i="2"/>
  <c r="O67" i="2"/>
  <c r="O83" i="2"/>
  <c r="O91" i="2"/>
  <c r="O99" i="2"/>
  <c r="O103" i="2"/>
  <c r="O111" i="2"/>
  <c r="O119" i="2"/>
  <c r="O127" i="2"/>
  <c r="O131" i="2"/>
  <c r="O139" i="2"/>
  <c r="O147" i="2"/>
  <c r="O155" i="2"/>
  <c r="O163" i="2"/>
  <c r="O171" i="2"/>
  <c r="O175" i="2"/>
  <c r="O183" i="2"/>
  <c r="O4" i="2"/>
  <c r="N61" i="2"/>
  <c r="N189" i="2"/>
  <c r="N98" i="2"/>
  <c r="N76" i="2"/>
  <c r="N87" i="2"/>
  <c r="N151" i="2"/>
  <c r="X34" i="2"/>
  <c r="N97" i="2"/>
  <c r="N6" i="2"/>
  <c r="N134" i="2"/>
  <c r="N16" i="2"/>
  <c r="N59" i="2"/>
  <c r="N187" i="2"/>
  <c r="N153" i="2"/>
  <c r="X38" i="2"/>
  <c r="N181" i="2"/>
  <c r="N90" i="2"/>
  <c r="N56" i="2"/>
  <c r="N79" i="2"/>
  <c r="N143" i="2"/>
  <c r="X39" i="2"/>
  <c r="N132" i="2"/>
  <c r="N105" i="2"/>
  <c r="N124" i="2"/>
  <c r="O12" i="2"/>
  <c r="O20" i="2"/>
  <c r="O28" i="2"/>
  <c r="O36" i="2"/>
  <c r="O44" i="2"/>
  <c r="O48" i="2"/>
  <c r="O56" i="2"/>
  <c r="O64" i="2"/>
  <c r="O72" i="2"/>
  <c r="O80" i="2"/>
  <c r="O88" i="2"/>
  <c r="O100" i="2"/>
  <c r="O108" i="2"/>
  <c r="O116" i="2"/>
  <c r="O124" i="2"/>
  <c r="O132" i="2"/>
  <c r="O140" i="2"/>
  <c r="O148" i="2"/>
  <c r="O156" i="2"/>
  <c r="O164" i="2"/>
  <c r="O172" i="2"/>
  <c r="O180" i="2"/>
  <c r="O188" i="2"/>
  <c r="N77" i="2"/>
  <c r="N136" i="2"/>
  <c r="N114" i="2"/>
  <c r="N108" i="2"/>
  <c r="N39" i="2"/>
  <c r="N167" i="2"/>
  <c r="V34" i="2"/>
  <c r="N113" i="2"/>
  <c r="N22" i="2"/>
  <c r="N150" i="2"/>
  <c r="N11" i="2"/>
  <c r="N139" i="2"/>
  <c r="X40" i="2"/>
  <c r="N5" i="2"/>
  <c r="N133" i="2"/>
  <c r="N106" i="2"/>
  <c r="N92" i="2"/>
  <c r="N95" i="2"/>
  <c r="N80" i="2"/>
  <c r="N158" i="2"/>
  <c r="V39" i="2"/>
  <c r="N172" i="2"/>
  <c r="O9" i="2"/>
  <c r="O17" i="2"/>
  <c r="O25" i="2"/>
  <c r="O33" i="2"/>
  <c r="O37" i="2"/>
  <c r="O45" i="2"/>
  <c r="O53" i="2"/>
  <c r="O61" i="2"/>
  <c r="O73" i="2"/>
  <c r="O81" i="2"/>
  <c r="O89" i="2"/>
  <c r="O97" i="2"/>
  <c r="O105" i="2"/>
  <c r="O113" i="2"/>
  <c r="O121" i="2"/>
  <c r="O129" i="2"/>
  <c r="O137" i="2"/>
  <c r="O145" i="2"/>
  <c r="O153" i="2"/>
  <c r="O161" i="2"/>
  <c r="O169" i="2"/>
  <c r="O177" i="2"/>
  <c r="O185" i="2"/>
  <c r="N29" i="2"/>
  <c r="N93" i="2"/>
  <c r="N184" i="2"/>
  <c r="N130" i="2"/>
  <c r="N152" i="2"/>
  <c r="N119" i="2"/>
  <c r="N144" i="2"/>
  <c r="N35" i="2"/>
  <c r="N65" i="2"/>
  <c r="N60" i="2"/>
  <c r="N102" i="2"/>
  <c r="N84" i="2"/>
  <c r="N91" i="2"/>
  <c r="N72" i="2"/>
  <c r="N190" i="2"/>
  <c r="N163" i="2"/>
  <c r="N21" i="2"/>
  <c r="N85" i="2"/>
  <c r="N160" i="2"/>
  <c r="N58" i="2"/>
  <c r="N186" i="2"/>
  <c r="N47" i="2"/>
  <c r="N175" i="2"/>
  <c r="N46" i="2"/>
  <c r="N131" i="2"/>
  <c r="N73" i="2"/>
  <c r="N30" i="2"/>
  <c r="O7" i="2"/>
  <c r="O11" i="2"/>
  <c r="O15" i="2"/>
  <c r="O19" i="2"/>
  <c r="O23" i="2"/>
  <c r="O27" i="2"/>
  <c r="O31" i="2"/>
  <c r="O35" i="2"/>
  <c r="O39" i="2"/>
  <c r="O43" i="2"/>
  <c r="O47" i="2"/>
  <c r="O51" i="2"/>
  <c r="O55" i="2"/>
  <c r="O59" i="2"/>
  <c r="O63" i="2"/>
  <c r="O71" i="2"/>
  <c r="O75" i="2"/>
  <c r="O79" i="2"/>
  <c r="O87" i="2"/>
  <c r="O95" i="2"/>
  <c r="O107" i="2"/>
  <c r="O115" i="2"/>
  <c r="O123" i="2"/>
  <c r="O135" i="2"/>
  <c r="O143" i="2"/>
  <c r="O151" i="2"/>
  <c r="O159" i="2"/>
  <c r="O167" i="2"/>
  <c r="O179" i="2"/>
  <c r="O187" i="2"/>
  <c r="N125" i="2"/>
  <c r="N34" i="2"/>
  <c r="N162" i="2"/>
  <c r="N23" i="2"/>
  <c r="N64" i="2"/>
  <c r="N174" i="2"/>
  <c r="N147" i="2"/>
  <c r="N33" i="2"/>
  <c r="N161" i="2"/>
  <c r="N70" i="2"/>
  <c r="N164" i="2"/>
  <c r="N123" i="2"/>
  <c r="N156" i="2"/>
  <c r="N51" i="2"/>
  <c r="N53" i="2"/>
  <c r="N117" i="2"/>
  <c r="N26" i="2"/>
  <c r="N154" i="2"/>
  <c r="N15" i="2"/>
  <c r="N44" i="2"/>
  <c r="N94" i="2"/>
  <c r="N19" i="2"/>
  <c r="N41" i="2"/>
  <c r="N142" i="2"/>
  <c r="O8" i="2"/>
  <c r="O16" i="2"/>
  <c r="O24" i="2"/>
  <c r="O32" i="2"/>
  <c r="O40" i="2"/>
  <c r="O52" i="2"/>
  <c r="O60" i="2"/>
  <c r="O68" i="2"/>
  <c r="O76" i="2"/>
  <c r="O84" i="2"/>
  <c r="O92" i="2"/>
  <c r="O96" i="2"/>
  <c r="O104" i="2"/>
  <c r="O112" i="2"/>
  <c r="O120" i="2"/>
  <c r="O128" i="2"/>
  <c r="O136" i="2"/>
  <c r="O144" i="2"/>
  <c r="O152" i="2"/>
  <c r="O160" i="2"/>
  <c r="O168" i="2"/>
  <c r="O176" i="2"/>
  <c r="O184" i="2"/>
  <c r="N13" i="2"/>
  <c r="N141" i="2"/>
  <c r="N50" i="2"/>
  <c r="N178" i="2"/>
  <c r="N103" i="2"/>
  <c r="N96" i="2"/>
  <c r="N100" i="2"/>
  <c r="N52" i="2"/>
  <c r="N49" i="2"/>
  <c r="N177" i="2"/>
  <c r="N86" i="2"/>
  <c r="N48" i="2"/>
  <c r="N75" i="2"/>
  <c r="N36" i="2"/>
  <c r="N110" i="2"/>
  <c r="N115" i="2"/>
  <c r="N69" i="2"/>
  <c r="N104" i="2"/>
  <c r="N42" i="2"/>
  <c r="N170" i="2"/>
  <c r="N31" i="2"/>
  <c r="N159" i="2"/>
  <c r="N185" i="2"/>
  <c r="N83" i="2"/>
  <c r="N57" i="2"/>
  <c r="N121" i="2"/>
  <c r="N68" i="2"/>
  <c r="O5" i="2"/>
  <c r="O13" i="2"/>
  <c r="O21" i="2"/>
  <c r="O29" i="2"/>
  <c r="O41" i="2"/>
  <c r="O49" i="2"/>
  <c r="O57" i="2"/>
  <c r="O65" i="2"/>
  <c r="O69" i="2"/>
  <c r="O77" i="2"/>
  <c r="O85" i="2"/>
  <c r="O93" i="2"/>
  <c r="O101" i="2"/>
  <c r="O109" i="2"/>
  <c r="O117" i="2"/>
  <c r="O125" i="2"/>
  <c r="O133" i="2"/>
  <c r="O141" i="2"/>
  <c r="O149" i="2"/>
  <c r="O157" i="2"/>
  <c r="O165" i="2"/>
  <c r="O173" i="2"/>
  <c r="O181" i="2"/>
  <c r="O189" i="2"/>
  <c r="N157" i="2"/>
  <c r="N66" i="2"/>
  <c r="N12" i="2"/>
  <c r="N55" i="2"/>
  <c r="N183" i="2"/>
  <c r="N14" i="2"/>
  <c r="N180" i="2"/>
  <c r="N129" i="2"/>
  <c r="N38" i="2"/>
  <c r="N166" i="2"/>
  <c r="N27" i="2"/>
  <c r="N155" i="2"/>
  <c r="V38" i="2"/>
  <c r="N149" i="2"/>
  <c r="N122" i="2"/>
  <c r="N128" i="2"/>
  <c r="N111" i="2"/>
  <c r="N120" i="2"/>
  <c r="N32" i="2"/>
  <c r="N9" i="2"/>
  <c r="N137" i="2"/>
  <c r="N67" i="2"/>
  <c r="V53" i="2"/>
  <c r="V47" i="2"/>
  <c r="V52" i="2" l="1"/>
  <c r="X41" i="2"/>
  <c r="X37" i="2"/>
  <c r="X33" i="2"/>
  <c r="V33" i="2"/>
  <c r="V41" i="2"/>
  <c r="V37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D116" i="3"/>
  <c r="E116" i="3"/>
  <c r="F116" i="3"/>
  <c r="G116" i="3"/>
  <c r="H116" i="3"/>
  <c r="I116" i="3"/>
  <c r="D117" i="3"/>
  <c r="E117" i="3"/>
  <c r="F117" i="3"/>
  <c r="G117" i="3"/>
  <c r="H117" i="3"/>
  <c r="I117" i="3"/>
  <c r="D118" i="3"/>
  <c r="E118" i="3"/>
  <c r="F118" i="3"/>
  <c r="G118" i="3"/>
  <c r="H118" i="3"/>
  <c r="I118" i="3"/>
  <c r="D119" i="3"/>
  <c r="E119" i="3"/>
  <c r="F119" i="3"/>
  <c r="G119" i="3"/>
  <c r="H119" i="3"/>
  <c r="I119" i="3"/>
  <c r="D120" i="3"/>
  <c r="E120" i="3"/>
  <c r="F120" i="3"/>
  <c r="G120" i="3"/>
  <c r="H120" i="3"/>
  <c r="I120" i="3"/>
  <c r="D121" i="3"/>
  <c r="E121" i="3"/>
  <c r="F121" i="3"/>
  <c r="G121" i="3"/>
  <c r="H121" i="3"/>
  <c r="I121" i="3"/>
  <c r="D122" i="3"/>
  <c r="E122" i="3"/>
  <c r="F122" i="3"/>
  <c r="G122" i="3"/>
  <c r="H122" i="3"/>
  <c r="I122" i="3"/>
  <c r="D123" i="3"/>
  <c r="E123" i="3"/>
  <c r="F123" i="3"/>
  <c r="G123" i="3"/>
  <c r="H123" i="3"/>
  <c r="I123" i="3"/>
  <c r="D124" i="3"/>
  <c r="E124" i="3"/>
  <c r="F124" i="3"/>
  <c r="G124" i="3"/>
  <c r="H124" i="3"/>
  <c r="I124" i="3"/>
  <c r="D125" i="3"/>
  <c r="E125" i="3"/>
  <c r="F125" i="3"/>
  <c r="G125" i="3"/>
  <c r="H125" i="3"/>
  <c r="I125" i="3"/>
  <c r="D126" i="3"/>
  <c r="E126" i="3"/>
  <c r="F126" i="3"/>
  <c r="G126" i="3"/>
  <c r="H126" i="3"/>
  <c r="I126" i="3"/>
  <c r="D127" i="3"/>
  <c r="E127" i="3"/>
  <c r="F127" i="3"/>
  <c r="G127" i="3"/>
  <c r="H127" i="3"/>
  <c r="I127" i="3"/>
  <c r="D128" i="3"/>
  <c r="E128" i="3"/>
  <c r="F128" i="3"/>
  <c r="G128" i="3"/>
  <c r="H128" i="3"/>
  <c r="I128" i="3"/>
  <c r="D129" i="3"/>
  <c r="E129" i="3"/>
  <c r="F129" i="3"/>
  <c r="G129" i="3"/>
  <c r="H129" i="3"/>
  <c r="I129" i="3"/>
  <c r="D130" i="3"/>
  <c r="E130" i="3"/>
  <c r="F130" i="3"/>
  <c r="G130" i="3"/>
  <c r="H130" i="3"/>
  <c r="I130" i="3"/>
  <c r="D131" i="3"/>
  <c r="E131" i="3"/>
  <c r="F131" i="3"/>
  <c r="G131" i="3"/>
  <c r="H131" i="3"/>
  <c r="I131" i="3"/>
  <c r="D132" i="3"/>
  <c r="E132" i="3"/>
  <c r="F132" i="3"/>
  <c r="G132" i="3"/>
  <c r="H132" i="3"/>
  <c r="I132" i="3"/>
  <c r="D133" i="3"/>
  <c r="E133" i="3"/>
  <c r="F133" i="3"/>
  <c r="G133" i="3"/>
  <c r="H133" i="3"/>
  <c r="I133" i="3"/>
  <c r="D134" i="3"/>
  <c r="E134" i="3"/>
  <c r="F134" i="3"/>
  <c r="G134" i="3"/>
  <c r="H134" i="3"/>
  <c r="I134" i="3"/>
  <c r="D135" i="3"/>
  <c r="E135" i="3"/>
  <c r="F135" i="3"/>
  <c r="G135" i="3"/>
  <c r="H135" i="3"/>
  <c r="I135" i="3"/>
  <c r="D136" i="3"/>
  <c r="E136" i="3"/>
  <c r="F136" i="3"/>
  <c r="G136" i="3"/>
  <c r="H136" i="3"/>
  <c r="I136" i="3"/>
  <c r="D137" i="3"/>
  <c r="E137" i="3"/>
  <c r="F137" i="3"/>
  <c r="G137" i="3"/>
  <c r="H137" i="3"/>
  <c r="I137" i="3"/>
  <c r="D138" i="3"/>
  <c r="E138" i="3"/>
  <c r="F138" i="3"/>
  <c r="G138" i="3"/>
  <c r="H138" i="3"/>
  <c r="I138" i="3"/>
  <c r="D139" i="3"/>
  <c r="E139" i="3"/>
  <c r="F139" i="3"/>
  <c r="G139" i="3"/>
  <c r="H139" i="3"/>
  <c r="I139" i="3"/>
  <c r="D140" i="3"/>
  <c r="E140" i="3"/>
  <c r="F140" i="3"/>
  <c r="G140" i="3"/>
  <c r="H140" i="3"/>
  <c r="I140" i="3"/>
  <c r="D141" i="3"/>
  <c r="E141" i="3"/>
  <c r="F141" i="3"/>
  <c r="G141" i="3"/>
  <c r="H141" i="3"/>
  <c r="I141" i="3"/>
  <c r="D142" i="3"/>
  <c r="E142" i="3"/>
  <c r="F142" i="3"/>
  <c r="G142" i="3"/>
  <c r="H142" i="3"/>
  <c r="I142" i="3"/>
  <c r="D143" i="3"/>
  <c r="E143" i="3"/>
  <c r="F143" i="3"/>
  <c r="G143" i="3"/>
  <c r="H143" i="3"/>
  <c r="I143" i="3"/>
  <c r="D144" i="3"/>
  <c r="E144" i="3"/>
  <c r="F144" i="3"/>
  <c r="G144" i="3"/>
  <c r="H144" i="3"/>
  <c r="I144" i="3"/>
  <c r="D145" i="3"/>
  <c r="E145" i="3"/>
  <c r="F145" i="3"/>
  <c r="G145" i="3"/>
  <c r="H145" i="3"/>
  <c r="I145" i="3"/>
  <c r="D146" i="3"/>
  <c r="E146" i="3"/>
  <c r="F146" i="3"/>
  <c r="G146" i="3"/>
  <c r="H146" i="3"/>
  <c r="I146" i="3"/>
  <c r="D147" i="3"/>
  <c r="E147" i="3"/>
  <c r="F147" i="3"/>
  <c r="G147" i="3"/>
  <c r="H147" i="3"/>
  <c r="I147" i="3"/>
  <c r="D148" i="3"/>
  <c r="E148" i="3"/>
  <c r="F148" i="3"/>
  <c r="G148" i="3"/>
  <c r="H148" i="3"/>
  <c r="I148" i="3"/>
  <c r="D149" i="3"/>
  <c r="E149" i="3"/>
  <c r="F149" i="3"/>
  <c r="G149" i="3"/>
  <c r="H149" i="3"/>
  <c r="I149" i="3"/>
  <c r="D150" i="3"/>
  <c r="E150" i="3"/>
  <c r="F150" i="3"/>
  <c r="G150" i="3"/>
  <c r="H150" i="3"/>
  <c r="I150" i="3"/>
  <c r="D151" i="3"/>
  <c r="E151" i="3"/>
  <c r="F151" i="3"/>
  <c r="G151" i="3"/>
  <c r="H151" i="3"/>
  <c r="I151" i="3"/>
  <c r="D152" i="3"/>
  <c r="E152" i="3"/>
  <c r="F152" i="3"/>
  <c r="G152" i="3"/>
  <c r="H152" i="3"/>
  <c r="I152" i="3"/>
  <c r="D153" i="3"/>
  <c r="E153" i="3"/>
  <c r="F153" i="3"/>
  <c r="G153" i="3"/>
  <c r="H153" i="3"/>
  <c r="I153" i="3"/>
  <c r="D154" i="3"/>
  <c r="E154" i="3"/>
  <c r="F154" i="3"/>
  <c r="G154" i="3"/>
  <c r="H154" i="3"/>
  <c r="I154" i="3"/>
  <c r="D155" i="3"/>
  <c r="E155" i="3"/>
  <c r="F155" i="3"/>
  <c r="G155" i="3"/>
  <c r="H155" i="3"/>
  <c r="I155" i="3"/>
  <c r="D156" i="3"/>
  <c r="E156" i="3"/>
  <c r="F156" i="3"/>
  <c r="G156" i="3"/>
  <c r="H156" i="3"/>
  <c r="I156" i="3"/>
  <c r="D157" i="3"/>
  <c r="E157" i="3"/>
  <c r="F157" i="3"/>
  <c r="G157" i="3"/>
  <c r="H157" i="3"/>
  <c r="I157" i="3"/>
  <c r="D158" i="3"/>
  <c r="E158" i="3"/>
  <c r="F158" i="3"/>
  <c r="G158" i="3"/>
  <c r="H158" i="3"/>
  <c r="I158" i="3"/>
  <c r="D159" i="3"/>
  <c r="E159" i="3"/>
  <c r="F159" i="3"/>
  <c r="G159" i="3"/>
  <c r="H159" i="3"/>
  <c r="I159" i="3"/>
  <c r="D160" i="3"/>
  <c r="E160" i="3"/>
  <c r="F160" i="3"/>
  <c r="G160" i="3"/>
  <c r="H160" i="3"/>
  <c r="I160" i="3"/>
  <c r="D161" i="3"/>
  <c r="E161" i="3"/>
  <c r="F161" i="3"/>
  <c r="G161" i="3"/>
  <c r="H161" i="3"/>
  <c r="I161" i="3"/>
  <c r="D162" i="3"/>
  <c r="E162" i="3"/>
  <c r="F162" i="3"/>
  <c r="G162" i="3"/>
  <c r="H162" i="3"/>
  <c r="I162" i="3"/>
  <c r="D163" i="3"/>
  <c r="E163" i="3"/>
  <c r="F163" i="3"/>
  <c r="G163" i="3"/>
  <c r="H163" i="3"/>
  <c r="I163" i="3"/>
  <c r="D164" i="3"/>
  <c r="E164" i="3"/>
  <c r="F164" i="3"/>
  <c r="G164" i="3"/>
  <c r="H164" i="3"/>
  <c r="I164" i="3"/>
  <c r="D165" i="3"/>
  <c r="E165" i="3"/>
  <c r="F165" i="3"/>
  <c r="G165" i="3"/>
  <c r="H165" i="3"/>
  <c r="I165" i="3"/>
  <c r="D166" i="3"/>
  <c r="E166" i="3"/>
  <c r="F166" i="3"/>
  <c r="G166" i="3"/>
  <c r="H166" i="3"/>
  <c r="I166" i="3"/>
  <c r="D167" i="3"/>
  <c r="E167" i="3"/>
  <c r="F167" i="3"/>
  <c r="G167" i="3"/>
  <c r="H167" i="3"/>
  <c r="I167" i="3"/>
  <c r="D168" i="3"/>
  <c r="E168" i="3"/>
  <c r="F168" i="3"/>
  <c r="G168" i="3"/>
  <c r="H168" i="3"/>
  <c r="I168" i="3"/>
  <c r="D169" i="3"/>
  <c r="E169" i="3"/>
  <c r="F169" i="3"/>
  <c r="G169" i="3"/>
  <c r="H169" i="3"/>
  <c r="I169" i="3"/>
  <c r="D170" i="3"/>
  <c r="E170" i="3"/>
  <c r="F170" i="3"/>
  <c r="G170" i="3"/>
  <c r="H170" i="3"/>
  <c r="I170" i="3"/>
  <c r="D171" i="3"/>
  <c r="E171" i="3"/>
  <c r="F171" i="3"/>
  <c r="G171" i="3"/>
  <c r="H171" i="3"/>
  <c r="I171" i="3"/>
  <c r="D172" i="3"/>
  <c r="E172" i="3"/>
  <c r="F172" i="3"/>
  <c r="G172" i="3"/>
  <c r="H172" i="3"/>
  <c r="I172" i="3"/>
  <c r="D173" i="3"/>
  <c r="E173" i="3"/>
  <c r="F173" i="3"/>
  <c r="G173" i="3"/>
  <c r="H173" i="3"/>
  <c r="I173" i="3"/>
  <c r="D174" i="3"/>
  <c r="E174" i="3"/>
  <c r="F174" i="3"/>
  <c r="G174" i="3"/>
  <c r="H174" i="3"/>
  <c r="I174" i="3"/>
  <c r="D175" i="3"/>
  <c r="E175" i="3"/>
  <c r="F175" i="3"/>
  <c r="G175" i="3"/>
  <c r="H175" i="3"/>
  <c r="I175" i="3"/>
  <c r="D176" i="3"/>
  <c r="E176" i="3"/>
  <c r="F176" i="3"/>
  <c r="G176" i="3"/>
  <c r="H176" i="3"/>
  <c r="I176" i="3"/>
  <c r="D177" i="3"/>
  <c r="E177" i="3"/>
  <c r="F177" i="3"/>
  <c r="G177" i="3"/>
  <c r="H177" i="3"/>
  <c r="I177" i="3"/>
  <c r="D178" i="3"/>
  <c r="E178" i="3"/>
  <c r="F178" i="3"/>
  <c r="G178" i="3"/>
  <c r="H178" i="3"/>
  <c r="I178" i="3"/>
  <c r="D179" i="3"/>
  <c r="E179" i="3"/>
  <c r="F179" i="3"/>
  <c r="G179" i="3"/>
  <c r="H179" i="3"/>
  <c r="I179" i="3"/>
  <c r="D180" i="3"/>
  <c r="E180" i="3"/>
  <c r="F180" i="3"/>
  <c r="G180" i="3"/>
  <c r="H180" i="3"/>
  <c r="I180" i="3"/>
  <c r="D181" i="3"/>
  <c r="E181" i="3"/>
  <c r="F181" i="3"/>
  <c r="G181" i="3"/>
  <c r="H181" i="3"/>
  <c r="I181" i="3"/>
  <c r="D182" i="3"/>
  <c r="E182" i="3"/>
  <c r="F182" i="3"/>
  <c r="G182" i="3"/>
  <c r="H182" i="3"/>
  <c r="I182" i="3"/>
  <c r="D183" i="3"/>
  <c r="E183" i="3"/>
  <c r="F183" i="3"/>
  <c r="G183" i="3"/>
  <c r="H183" i="3"/>
  <c r="I183" i="3"/>
  <c r="D184" i="3"/>
  <c r="E184" i="3"/>
  <c r="F184" i="3"/>
  <c r="G184" i="3"/>
  <c r="H184" i="3"/>
  <c r="I184" i="3"/>
  <c r="D185" i="3"/>
  <c r="E185" i="3"/>
  <c r="F185" i="3"/>
  <c r="G185" i="3"/>
  <c r="H185" i="3"/>
  <c r="I185" i="3"/>
  <c r="D186" i="3"/>
  <c r="E186" i="3"/>
  <c r="F186" i="3"/>
  <c r="G186" i="3"/>
  <c r="H186" i="3"/>
  <c r="I186" i="3"/>
  <c r="D187" i="3"/>
  <c r="E187" i="3"/>
  <c r="F187" i="3"/>
  <c r="G187" i="3"/>
  <c r="H187" i="3"/>
  <c r="I187" i="3"/>
  <c r="D188" i="3"/>
  <c r="E188" i="3"/>
  <c r="F188" i="3"/>
  <c r="G188" i="3"/>
  <c r="H188" i="3"/>
  <c r="I188" i="3"/>
  <c r="D189" i="3"/>
  <c r="E189" i="3"/>
  <c r="F189" i="3"/>
  <c r="G189" i="3"/>
  <c r="H189" i="3"/>
  <c r="I189" i="3"/>
  <c r="D190" i="3"/>
  <c r="E190" i="3"/>
  <c r="F190" i="3"/>
  <c r="G190" i="3"/>
  <c r="H190" i="3"/>
  <c r="I190" i="3"/>
  <c r="D191" i="3"/>
  <c r="E191" i="3"/>
  <c r="F191" i="3"/>
  <c r="G191" i="3"/>
  <c r="H191" i="3"/>
  <c r="I191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O115" i="5"/>
  <c r="P115" i="5"/>
  <c r="Q115" i="5"/>
  <c r="R115" i="5"/>
  <c r="O116" i="5"/>
  <c r="P116" i="5"/>
  <c r="Q116" i="5"/>
  <c r="R116" i="5"/>
  <c r="O117" i="5"/>
  <c r="P117" i="5"/>
  <c r="Q117" i="5"/>
  <c r="R117" i="5"/>
  <c r="O118" i="5"/>
  <c r="P118" i="5"/>
  <c r="Q118" i="5"/>
  <c r="R118" i="5"/>
  <c r="O119" i="5"/>
  <c r="P119" i="5"/>
  <c r="Q119" i="5"/>
  <c r="R119" i="5"/>
  <c r="O120" i="5"/>
  <c r="P120" i="5"/>
  <c r="Q120" i="5"/>
  <c r="R120" i="5"/>
  <c r="O121" i="5"/>
  <c r="P121" i="5"/>
  <c r="Q121" i="5"/>
  <c r="R121" i="5"/>
  <c r="O122" i="5"/>
  <c r="P122" i="5"/>
  <c r="Q122" i="5"/>
  <c r="R122" i="5"/>
  <c r="O123" i="5"/>
  <c r="P123" i="5"/>
  <c r="Q123" i="5"/>
  <c r="R123" i="5"/>
  <c r="O124" i="5"/>
  <c r="P124" i="5"/>
  <c r="Q124" i="5"/>
  <c r="R124" i="5"/>
  <c r="O125" i="5"/>
  <c r="P125" i="5"/>
  <c r="Q125" i="5"/>
  <c r="R125" i="5"/>
  <c r="O126" i="5"/>
  <c r="P126" i="5"/>
  <c r="Q126" i="5"/>
  <c r="R126" i="5"/>
  <c r="O127" i="5"/>
  <c r="P127" i="5"/>
  <c r="Q127" i="5"/>
  <c r="R127" i="5"/>
  <c r="O128" i="5"/>
  <c r="P128" i="5"/>
  <c r="Q128" i="5"/>
  <c r="R128" i="5"/>
  <c r="O129" i="5"/>
  <c r="P129" i="5"/>
  <c r="Q129" i="5"/>
  <c r="R129" i="5"/>
  <c r="O130" i="5"/>
  <c r="P130" i="5"/>
  <c r="Q130" i="5"/>
  <c r="R130" i="5"/>
  <c r="O131" i="5"/>
  <c r="P131" i="5"/>
  <c r="Q131" i="5"/>
  <c r="R131" i="5"/>
  <c r="O132" i="5"/>
  <c r="P132" i="5"/>
  <c r="Q132" i="5"/>
  <c r="R132" i="5"/>
  <c r="O133" i="5"/>
  <c r="P133" i="5"/>
  <c r="Q133" i="5"/>
  <c r="R133" i="5"/>
  <c r="O134" i="5"/>
  <c r="P134" i="5"/>
  <c r="Q134" i="5"/>
  <c r="R134" i="5"/>
  <c r="O135" i="5"/>
  <c r="P135" i="5"/>
  <c r="Q135" i="5"/>
  <c r="R135" i="5"/>
  <c r="O136" i="5"/>
  <c r="P136" i="5"/>
  <c r="Q136" i="5"/>
  <c r="R136" i="5"/>
  <c r="O137" i="5"/>
  <c r="P137" i="5"/>
  <c r="Q137" i="5"/>
  <c r="R137" i="5"/>
  <c r="O138" i="5"/>
  <c r="P138" i="5"/>
  <c r="Q138" i="5"/>
  <c r="R138" i="5"/>
  <c r="O139" i="5"/>
  <c r="P139" i="5"/>
  <c r="Q139" i="5"/>
  <c r="R139" i="5"/>
  <c r="O140" i="5"/>
  <c r="P140" i="5"/>
  <c r="Q140" i="5"/>
  <c r="R140" i="5"/>
  <c r="O141" i="5"/>
  <c r="P141" i="5"/>
  <c r="Q141" i="5"/>
  <c r="R141" i="5"/>
  <c r="O142" i="5"/>
  <c r="P142" i="5"/>
  <c r="Q142" i="5"/>
  <c r="R142" i="5"/>
  <c r="O143" i="5"/>
  <c r="P143" i="5"/>
  <c r="Q143" i="5"/>
  <c r="R143" i="5"/>
  <c r="O144" i="5"/>
  <c r="P144" i="5"/>
  <c r="Q144" i="5"/>
  <c r="R144" i="5"/>
  <c r="O145" i="5"/>
  <c r="P145" i="5"/>
  <c r="Q145" i="5"/>
  <c r="R145" i="5"/>
  <c r="O146" i="5"/>
  <c r="P146" i="5"/>
  <c r="Q146" i="5"/>
  <c r="R146" i="5"/>
  <c r="O147" i="5"/>
  <c r="P147" i="5"/>
  <c r="Q147" i="5"/>
  <c r="R147" i="5"/>
  <c r="O148" i="5"/>
  <c r="P148" i="5"/>
  <c r="Q148" i="5"/>
  <c r="R148" i="5"/>
  <c r="O149" i="5"/>
  <c r="P149" i="5"/>
  <c r="Q149" i="5"/>
  <c r="R149" i="5"/>
  <c r="O150" i="5"/>
  <c r="P150" i="5"/>
  <c r="Q150" i="5"/>
  <c r="R150" i="5"/>
  <c r="O151" i="5"/>
  <c r="P151" i="5"/>
  <c r="Q151" i="5"/>
  <c r="R151" i="5"/>
  <c r="O152" i="5"/>
  <c r="P152" i="5"/>
  <c r="Q152" i="5"/>
  <c r="R152" i="5"/>
  <c r="O153" i="5"/>
  <c r="P153" i="5"/>
  <c r="Q153" i="5"/>
  <c r="R153" i="5"/>
  <c r="O154" i="5"/>
  <c r="P154" i="5"/>
  <c r="Q154" i="5"/>
  <c r="R154" i="5"/>
  <c r="O155" i="5"/>
  <c r="P155" i="5"/>
  <c r="Q155" i="5"/>
  <c r="R155" i="5"/>
  <c r="O156" i="5"/>
  <c r="P156" i="5"/>
  <c r="Q156" i="5"/>
  <c r="R156" i="5"/>
  <c r="O157" i="5"/>
  <c r="P157" i="5"/>
  <c r="Q157" i="5"/>
  <c r="R157" i="5"/>
  <c r="O158" i="5"/>
  <c r="P158" i="5"/>
  <c r="Q158" i="5"/>
  <c r="R158" i="5"/>
  <c r="O159" i="5"/>
  <c r="P159" i="5"/>
  <c r="Q159" i="5"/>
  <c r="R159" i="5"/>
  <c r="O160" i="5"/>
  <c r="P160" i="5"/>
  <c r="Q160" i="5"/>
  <c r="R160" i="5"/>
  <c r="O161" i="5"/>
  <c r="P161" i="5"/>
  <c r="Q161" i="5"/>
  <c r="R161" i="5"/>
  <c r="O162" i="5"/>
  <c r="P162" i="5"/>
  <c r="Q162" i="5"/>
  <c r="R162" i="5"/>
  <c r="O163" i="5"/>
  <c r="P163" i="5"/>
  <c r="Q163" i="5"/>
  <c r="R163" i="5"/>
  <c r="O164" i="5"/>
  <c r="P164" i="5"/>
  <c r="Q164" i="5"/>
  <c r="R164" i="5"/>
  <c r="O165" i="5"/>
  <c r="P165" i="5"/>
  <c r="Q165" i="5"/>
  <c r="R165" i="5"/>
  <c r="O166" i="5"/>
  <c r="P166" i="5"/>
  <c r="Q166" i="5"/>
  <c r="R166" i="5"/>
  <c r="O167" i="5"/>
  <c r="P167" i="5"/>
  <c r="Q167" i="5"/>
  <c r="R167" i="5"/>
  <c r="O168" i="5"/>
  <c r="P168" i="5"/>
  <c r="Q168" i="5"/>
  <c r="R168" i="5"/>
  <c r="O169" i="5"/>
  <c r="P169" i="5"/>
  <c r="Q169" i="5"/>
  <c r="R169" i="5"/>
  <c r="O170" i="5"/>
  <c r="P170" i="5"/>
  <c r="Q170" i="5"/>
  <c r="R170" i="5"/>
  <c r="O171" i="5"/>
  <c r="P171" i="5"/>
  <c r="Q171" i="5"/>
  <c r="R171" i="5"/>
  <c r="O172" i="5"/>
  <c r="P172" i="5"/>
  <c r="Q172" i="5"/>
  <c r="R172" i="5"/>
  <c r="O173" i="5"/>
  <c r="P173" i="5"/>
  <c r="Q173" i="5"/>
  <c r="R173" i="5"/>
  <c r="O174" i="5"/>
  <c r="P174" i="5"/>
  <c r="Q174" i="5"/>
  <c r="R174" i="5"/>
  <c r="O175" i="5"/>
  <c r="P175" i="5"/>
  <c r="Q175" i="5"/>
  <c r="R175" i="5"/>
  <c r="O176" i="5"/>
  <c r="P176" i="5"/>
  <c r="Q176" i="5"/>
  <c r="R176" i="5"/>
  <c r="O177" i="5"/>
  <c r="P177" i="5"/>
  <c r="Q177" i="5"/>
  <c r="R177" i="5"/>
  <c r="O178" i="5"/>
  <c r="P178" i="5"/>
  <c r="Q178" i="5"/>
  <c r="R178" i="5"/>
  <c r="O179" i="5"/>
  <c r="P179" i="5"/>
  <c r="Q179" i="5"/>
  <c r="R179" i="5"/>
  <c r="O180" i="5"/>
  <c r="P180" i="5"/>
  <c r="Q180" i="5"/>
  <c r="R180" i="5"/>
  <c r="O181" i="5"/>
  <c r="P181" i="5"/>
  <c r="Q181" i="5"/>
  <c r="R181" i="5"/>
  <c r="O182" i="5"/>
  <c r="P182" i="5"/>
  <c r="Q182" i="5"/>
  <c r="R182" i="5"/>
  <c r="O183" i="5"/>
  <c r="P183" i="5"/>
  <c r="Q183" i="5"/>
  <c r="R183" i="5"/>
  <c r="O184" i="5"/>
  <c r="P184" i="5"/>
  <c r="Q184" i="5"/>
  <c r="R184" i="5"/>
  <c r="O185" i="5"/>
  <c r="P185" i="5"/>
  <c r="Q185" i="5"/>
  <c r="R185" i="5"/>
  <c r="O186" i="5"/>
  <c r="P186" i="5"/>
  <c r="Q186" i="5"/>
  <c r="R186" i="5"/>
  <c r="O187" i="5"/>
  <c r="P187" i="5"/>
  <c r="Q187" i="5"/>
  <c r="R187" i="5"/>
  <c r="O188" i="5"/>
  <c r="P188" i="5"/>
  <c r="Q188" i="5"/>
  <c r="R188" i="5"/>
  <c r="O189" i="5"/>
  <c r="P189" i="5"/>
  <c r="Q189" i="5"/>
  <c r="R189" i="5"/>
  <c r="O190" i="5"/>
  <c r="P190" i="5"/>
  <c r="Q190" i="5"/>
  <c r="R190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4" i="2"/>
  <c r="I26" i="3"/>
  <c r="I30" i="3"/>
  <c r="I42" i="3"/>
  <c r="I46" i="3"/>
  <c r="I58" i="3"/>
  <c r="I62" i="3"/>
  <c r="I74" i="3"/>
  <c r="I78" i="3"/>
  <c r="I90" i="3"/>
  <c r="I94" i="3"/>
  <c r="I106" i="3"/>
  <c r="I110" i="3"/>
  <c r="G7" i="3"/>
  <c r="G11" i="3"/>
  <c r="G15" i="3"/>
  <c r="G19" i="3"/>
  <c r="G23" i="3"/>
  <c r="G71" i="3"/>
  <c r="G87" i="3"/>
  <c r="G103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5" i="3"/>
  <c r="Q24" i="5"/>
  <c r="R24" i="5"/>
  <c r="Q25" i="5"/>
  <c r="R25" i="5"/>
  <c r="G26" i="3" s="1"/>
  <c r="Q26" i="5"/>
  <c r="R26" i="5"/>
  <c r="Q27" i="5"/>
  <c r="R27" i="5"/>
  <c r="G28" i="3" s="1"/>
  <c r="Q28" i="5"/>
  <c r="R28" i="5"/>
  <c r="Q29" i="5"/>
  <c r="R29" i="5"/>
  <c r="G30" i="3" s="1"/>
  <c r="Q30" i="5"/>
  <c r="R30" i="5"/>
  <c r="Q31" i="5"/>
  <c r="R31" i="5"/>
  <c r="G32" i="3" s="1"/>
  <c r="Q32" i="5"/>
  <c r="R32" i="5"/>
  <c r="Q33" i="5"/>
  <c r="I34" i="3" s="1"/>
  <c r="R33" i="5"/>
  <c r="G34" i="3" s="1"/>
  <c r="Q34" i="5"/>
  <c r="R34" i="5"/>
  <c r="Q35" i="5"/>
  <c r="R35" i="5"/>
  <c r="G36" i="3" s="1"/>
  <c r="Q36" i="5"/>
  <c r="R36" i="5"/>
  <c r="Q37" i="5"/>
  <c r="I38" i="3" s="1"/>
  <c r="R37" i="5"/>
  <c r="G38" i="3" s="1"/>
  <c r="Q38" i="5"/>
  <c r="R38" i="5"/>
  <c r="Q39" i="5"/>
  <c r="R39" i="5"/>
  <c r="G40" i="3" s="1"/>
  <c r="Q40" i="5"/>
  <c r="R40" i="5"/>
  <c r="Q41" i="5"/>
  <c r="R41" i="5"/>
  <c r="G42" i="3" s="1"/>
  <c r="Q42" i="5"/>
  <c r="R42" i="5"/>
  <c r="Q43" i="5"/>
  <c r="R43" i="5"/>
  <c r="G44" i="3" s="1"/>
  <c r="Q44" i="5"/>
  <c r="R44" i="5"/>
  <c r="Q45" i="5"/>
  <c r="R45" i="5"/>
  <c r="G46" i="3" s="1"/>
  <c r="Q46" i="5"/>
  <c r="R46" i="5"/>
  <c r="Q47" i="5"/>
  <c r="R47" i="5"/>
  <c r="G48" i="3" s="1"/>
  <c r="Q48" i="5"/>
  <c r="R48" i="5"/>
  <c r="Q49" i="5"/>
  <c r="I50" i="3" s="1"/>
  <c r="R49" i="5"/>
  <c r="G50" i="3" s="1"/>
  <c r="Q50" i="5"/>
  <c r="R50" i="5"/>
  <c r="Q51" i="5"/>
  <c r="R51" i="5"/>
  <c r="G52" i="3" s="1"/>
  <c r="Q52" i="5"/>
  <c r="R52" i="5"/>
  <c r="Q53" i="5"/>
  <c r="I54" i="3" s="1"/>
  <c r="R53" i="5"/>
  <c r="G54" i="3" s="1"/>
  <c r="Q54" i="5"/>
  <c r="R54" i="5"/>
  <c r="Q55" i="5"/>
  <c r="R55" i="5"/>
  <c r="G56" i="3" s="1"/>
  <c r="Q56" i="5"/>
  <c r="R56" i="5"/>
  <c r="Q57" i="5"/>
  <c r="R57" i="5"/>
  <c r="G58" i="3" s="1"/>
  <c r="Q58" i="5"/>
  <c r="R58" i="5"/>
  <c r="Q59" i="5"/>
  <c r="R59" i="5"/>
  <c r="G60" i="3" s="1"/>
  <c r="Q60" i="5"/>
  <c r="R60" i="5"/>
  <c r="Q61" i="5"/>
  <c r="R61" i="5"/>
  <c r="G62" i="3" s="1"/>
  <c r="Q62" i="5"/>
  <c r="R62" i="5"/>
  <c r="Q63" i="5"/>
  <c r="R63" i="5"/>
  <c r="G64" i="3" s="1"/>
  <c r="Q64" i="5"/>
  <c r="R64" i="5"/>
  <c r="Q65" i="5"/>
  <c r="I66" i="3" s="1"/>
  <c r="R65" i="5"/>
  <c r="G66" i="3" s="1"/>
  <c r="Q66" i="5"/>
  <c r="R66" i="5"/>
  <c r="Q67" i="5"/>
  <c r="R67" i="5"/>
  <c r="G68" i="3" s="1"/>
  <c r="Q68" i="5"/>
  <c r="R68" i="5"/>
  <c r="Q69" i="5"/>
  <c r="I70" i="3" s="1"/>
  <c r="R69" i="5"/>
  <c r="G70" i="3" s="1"/>
  <c r="Q70" i="5"/>
  <c r="R70" i="5"/>
  <c r="Q71" i="5"/>
  <c r="R71" i="5"/>
  <c r="G72" i="3" s="1"/>
  <c r="Q72" i="5"/>
  <c r="R72" i="5"/>
  <c r="Q73" i="5"/>
  <c r="R73" i="5"/>
  <c r="G74" i="3" s="1"/>
  <c r="Q74" i="5"/>
  <c r="R74" i="5"/>
  <c r="Q75" i="5"/>
  <c r="R75" i="5"/>
  <c r="G76" i="3" s="1"/>
  <c r="Q76" i="5"/>
  <c r="R76" i="5"/>
  <c r="Q77" i="5"/>
  <c r="R77" i="5"/>
  <c r="G78" i="3" s="1"/>
  <c r="Q78" i="5"/>
  <c r="R78" i="5"/>
  <c r="Q79" i="5"/>
  <c r="R79" i="5"/>
  <c r="G80" i="3" s="1"/>
  <c r="Q80" i="5"/>
  <c r="R80" i="5"/>
  <c r="Q81" i="5"/>
  <c r="I82" i="3" s="1"/>
  <c r="R81" i="5"/>
  <c r="G82" i="3" s="1"/>
  <c r="Q82" i="5"/>
  <c r="R82" i="5"/>
  <c r="Q83" i="5"/>
  <c r="R83" i="5"/>
  <c r="G84" i="3" s="1"/>
  <c r="Q84" i="5"/>
  <c r="R84" i="5"/>
  <c r="Q85" i="5"/>
  <c r="I86" i="3" s="1"/>
  <c r="R85" i="5"/>
  <c r="G86" i="3" s="1"/>
  <c r="Q86" i="5"/>
  <c r="R86" i="5"/>
  <c r="Q87" i="5"/>
  <c r="R87" i="5"/>
  <c r="G88" i="3" s="1"/>
  <c r="Q88" i="5"/>
  <c r="R88" i="5"/>
  <c r="Q89" i="5"/>
  <c r="R89" i="5"/>
  <c r="G90" i="3" s="1"/>
  <c r="Q90" i="5"/>
  <c r="R90" i="5"/>
  <c r="Q91" i="5"/>
  <c r="R91" i="5"/>
  <c r="G92" i="3" s="1"/>
  <c r="Q92" i="5"/>
  <c r="R92" i="5"/>
  <c r="Q93" i="5"/>
  <c r="R93" i="5"/>
  <c r="G94" i="3" s="1"/>
  <c r="Q94" i="5"/>
  <c r="R94" i="5"/>
  <c r="Q95" i="5"/>
  <c r="R95" i="5"/>
  <c r="G96" i="3" s="1"/>
  <c r="Q96" i="5"/>
  <c r="R96" i="5"/>
  <c r="Q97" i="5"/>
  <c r="I98" i="3" s="1"/>
  <c r="R97" i="5"/>
  <c r="G98" i="3" s="1"/>
  <c r="Q98" i="5"/>
  <c r="R98" i="5"/>
  <c r="Q99" i="5"/>
  <c r="R99" i="5"/>
  <c r="G100" i="3" s="1"/>
  <c r="Q100" i="5"/>
  <c r="R100" i="5"/>
  <c r="Q101" i="5"/>
  <c r="I102" i="3" s="1"/>
  <c r="R101" i="5"/>
  <c r="G102" i="3" s="1"/>
  <c r="Q102" i="5"/>
  <c r="R102" i="5"/>
  <c r="Q103" i="5"/>
  <c r="R103" i="5"/>
  <c r="G104" i="3" s="1"/>
  <c r="Q104" i="5"/>
  <c r="R104" i="5"/>
  <c r="Q105" i="5"/>
  <c r="R105" i="5"/>
  <c r="G106" i="3" s="1"/>
  <c r="Q106" i="5"/>
  <c r="R106" i="5"/>
  <c r="Q107" i="5"/>
  <c r="R107" i="5"/>
  <c r="G108" i="3" s="1"/>
  <c r="Q108" i="5"/>
  <c r="R108" i="5"/>
  <c r="Q109" i="5"/>
  <c r="R109" i="5"/>
  <c r="G110" i="3" s="1"/>
  <c r="Q110" i="5"/>
  <c r="R110" i="5"/>
  <c r="Q111" i="5"/>
  <c r="R111" i="5"/>
  <c r="G112" i="3" s="1"/>
  <c r="Q112" i="5"/>
  <c r="R112" i="5"/>
  <c r="Q113" i="5"/>
  <c r="I114" i="3" s="1"/>
  <c r="R113" i="5"/>
  <c r="G114" i="3" s="1"/>
  <c r="Q114" i="5"/>
  <c r="R114" i="5"/>
  <c r="P25" i="5"/>
  <c r="D26" i="3" s="1"/>
  <c r="P26" i="5"/>
  <c r="P27" i="5"/>
  <c r="P28" i="5"/>
  <c r="P29" i="5"/>
  <c r="P30" i="5"/>
  <c r="P31" i="5"/>
  <c r="P32" i="5"/>
  <c r="P33" i="5"/>
  <c r="P34" i="5"/>
  <c r="P35" i="5"/>
  <c r="P36" i="5"/>
  <c r="P37" i="5"/>
  <c r="D38" i="3" s="1"/>
  <c r="P38" i="5"/>
  <c r="P39" i="5"/>
  <c r="P40" i="5"/>
  <c r="P41" i="5"/>
  <c r="D42" i="3" s="1"/>
  <c r="P42" i="5"/>
  <c r="P43" i="5"/>
  <c r="P44" i="5"/>
  <c r="P45" i="5"/>
  <c r="P46" i="5"/>
  <c r="P47" i="5"/>
  <c r="P48" i="5"/>
  <c r="P49" i="5"/>
  <c r="P50" i="5"/>
  <c r="D51" i="3" s="1"/>
  <c r="P51" i="5"/>
  <c r="P52" i="5"/>
  <c r="P53" i="5"/>
  <c r="D54" i="3" s="1"/>
  <c r="P54" i="5"/>
  <c r="P55" i="5"/>
  <c r="P56" i="5"/>
  <c r="P57" i="5"/>
  <c r="P58" i="5"/>
  <c r="D59" i="3" s="1"/>
  <c r="P59" i="5"/>
  <c r="P60" i="5"/>
  <c r="P61" i="5"/>
  <c r="P62" i="5"/>
  <c r="D63" i="3" s="1"/>
  <c r="P63" i="5"/>
  <c r="P64" i="5"/>
  <c r="P65" i="5"/>
  <c r="P66" i="5"/>
  <c r="D67" i="3" s="1"/>
  <c r="P67" i="5"/>
  <c r="P68" i="5"/>
  <c r="P69" i="5"/>
  <c r="D70" i="3" s="1"/>
  <c r="P70" i="5"/>
  <c r="D71" i="3" s="1"/>
  <c r="P71" i="5"/>
  <c r="P72" i="5"/>
  <c r="P73" i="5"/>
  <c r="P74" i="5"/>
  <c r="D75" i="3" s="1"/>
  <c r="P75" i="5"/>
  <c r="P76" i="5"/>
  <c r="P77" i="5"/>
  <c r="P78" i="5"/>
  <c r="D79" i="3" s="1"/>
  <c r="P79" i="5"/>
  <c r="P80" i="5"/>
  <c r="P81" i="5"/>
  <c r="P82" i="5"/>
  <c r="D83" i="3" s="1"/>
  <c r="P83" i="5"/>
  <c r="P84" i="5"/>
  <c r="P85" i="5"/>
  <c r="D86" i="3" s="1"/>
  <c r="P86" i="5"/>
  <c r="P87" i="5"/>
  <c r="P88" i="5"/>
  <c r="P89" i="5"/>
  <c r="P90" i="5"/>
  <c r="D91" i="3" s="1"/>
  <c r="P91" i="5"/>
  <c r="P92" i="5"/>
  <c r="P93" i="5"/>
  <c r="D94" i="3" s="1"/>
  <c r="P94" i="5"/>
  <c r="D95" i="3" s="1"/>
  <c r="P95" i="5"/>
  <c r="P96" i="5"/>
  <c r="P97" i="5"/>
  <c r="P98" i="5"/>
  <c r="D99" i="3" s="1"/>
  <c r="P99" i="5"/>
  <c r="P100" i="5"/>
  <c r="P101" i="5"/>
  <c r="P102" i="5"/>
  <c r="D103" i="3" s="1"/>
  <c r="P103" i="5"/>
  <c r="P104" i="5"/>
  <c r="P105" i="5"/>
  <c r="P106" i="5"/>
  <c r="D107" i="3" s="1"/>
  <c r="P107" i="5"/>
  <c r="P108" i="5"/>
  <c r="P109" i="5"/>
  <c r="P110" i="5"/>
  <c r="D111" i="3" s="1"/>
  <c r="P111" i="5"/>
  <c r="P112" i="5"/>
  <c r="P113" i="5"/>
  <c r="P114" i="5"/>
  <c r="D115" i="3" s="1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N52" i="5"/>
  <c r="N53" i="5"/>
  <c r="H54" i="3" s="1"/>
  <c r="N54" i="5"/>
  <c r="N55" i="5"/>
  <c r="H56" i="3" s="1"/>
  <c r="N56" i="5"/>
  <c r="N57" i="5"/>
  <c r="H58" i="3" s="1"/>
  <c r="N58" i="5"/>
  <c r="N59" i="5"/>
  <c r="H60" i="3" s="1"/>
  <c r="N60" i="5"/>
  <c r="N61" i="5"/>
  <c r="H62" i="3" s="1"/>
  <c r="N62" i="5"/>
  <c r="N63" i="5"/>
  <c r="H64" i="3" s="1"/>
  <c r="N64" i="5"/>
  <c r="N65" i="5"/>
  <c r="H66" i="3" s="1"/>
  <c r="N66" i="5"/>
  <c r="N67" i="5"/>
  <c r="H68" i="3" s="1"/>
  <c r="N68" i="5"/>
  <c r="N69" i="5"/>
  <c r="H70" i="3" s="1"/>
  <c r="N70" i="5"/>
  <c r="N71" i="5"/>
  <c r="H72" i="3" s="1"/>
  <c r="N72" i="5"/>
  <c r="N73" i="5"/>
  <c r="H74" i="3" s="1"/>
  <c r="N74" i="5"/>
  <c r="N75" i="5"/>
  <c r="H76" i="3" s="1"/>
  <c r="N76" i="5"/>
  <c r="N77" i="5"/>
  <c r="H78" i="3" s="1"/>
  <c r="N78" i="5"/>
  <c r="N79" i="5"/>
  <c r="H80" i="3" s="1"/>
  <c r="N80" i="5"/>
  <c r="N81" i="5"/>
  <c r="H82" i="3" s="1"/>
  <c r="N82" i="5"/>
  <c r="N83" i="5"/>
  <c r="H84" i="3" s="1"/>
  <c r="N84" i="5"/>
  <c r="N85" i="5"/>
  <c r="H86" i="3" s="1"/>
  <c r="N86" i="5"/>
  <c r="N87" i="5"/>
  <c r="H88" i="3" s="1"/>
  <c r="N88" i="5"/>
  <c r="N89" i="5"/>
  <c r="H90" i="3" s="1"/>
  <c r="N90" i="5"/>
  <c r="N91" i="5"/>
  <c r="H92" i="3" s="1"/>
  <c r="N92" i="5"/>
  <c r="N93" i="5"/>
  <c r="H94" i="3" s="1"/>
  <c r="N94" i="5"/>
  <c r="N95" i="5"/>
  <c r="H96" i="3" s="1"/>
  <c r="N96" i="5"/>
  <c r="N97" i="5"/>
  <c r="H98" i="3" s="1"/>
  <c r="N98" i="5"/>
  <c r="N99" i="5"/>
  <c r="H100" i="3" s="1"/>
  <c r="N100" i="5"/>
  <c r="N101" i="5"/>
  <c r="H102" i="3" s="1"/>
  <c r="N102" i="5"/>
  <c r="N103" i="5"/>
  <c r="H104" i="3" s="1"/>
  <c r="N104" i="5"/>
  <c r="N105" i="5"/>
  <c r="H106" i="3" s="1"/>
  <c r="N106" i="5"/>
  <c r="N107" i="5"/>
  <c r="H108" i="3" s="1"/>
  <c r="N108" i="5"/>
  <c r="N109" i="5"/>
  <c r="H110" i="3" s="1"/>
  <c r="N110" i="5"/>
  <c r="N111" i="5"/>
  <c r="H112" i="3" s="1"/>
  <c r="N112" i="5"/>
  <c r="N113" i="5"/>
  <c r="H114" i="3" s="1"/>
  <c r="N114" i="5"/>
  <c r="N25" i="5"/>
  <c r="H26" i="3" s="1"/>
  <c r="N26" i="5"/>
  <c r="N27" i="5"/>
  <c r="H28" i="3" s="1"/>
  <c r="N28" i="5"/>
  <c r="N29" i="5"/>
  <c r="H30" i="3" s="1"/>
  <c r="N30" i="5"/>
  <c r="N31" i="5"/>
  <c r="H32" i="3" s="1"/>
  <c r="N32" i="5"/>
  <c r="N33" i="5"/>
  <c r="H34" i="3" s="1"/>
  <c r="N34" i="5"/>
  <c r="N35" i="5"/>
  <c r="H36" i="3" s="1"/>
  <c r="N36" i="5"/>
  <c r="N37" i="5"/>
  <c r="H38" i="3" s="1"/>
  <c r="N38" i="5"/>
  <c r="N39" i="5"/>
  <c r="H40" i="3" s="1"/>
  <c r="N40" i="5"/>
  <c r="N41" i="5"/>
  <c r="H42" i="3" s="1"/>
  <c r="N42" i="5"/>
  <c r="N43" i="5"/>
  <c r="H44" i="3" s="1"/>
  <c r="N44" i="5"/>
  <c r="N45" i="5"/>
  <c r="H46" i="3" s="1"/>
  <c r="N46" i="5"/>
  <c r="N47" i="5"/>
  <c r="H48" i="3" s="1"/>
  <c r="N48" i="5"/>
  <c r="N49" i="5"/>
  <c r="H50" i="3" s="1"/>
  <c r="N50" i="5"/>
  <c r="N51" i="5"/>
  <c r="H52" i="3" s="1"/>
  <c r="P24" i="5"/>
  <c r="O24" i="5"/>
  <c r="N24" i="5"/>
  <c r="R23" i="5"/>
  <c r="G24" i="3" s="1"/>
  <c r="Q23" i="5"/>
  <c r="P23" i="5"/>
  <c r="O23" i="5"/>
  <c r="N23" i="5"/>
  <c r="H24" i="3" s="1"/>
  <c r="R22" i="5"/>
  <c r="I23" i="3" s="1"/>
  <c r="Q22" i="5"/>
  <c r="P22" i="5"/>
  <c r="E23" i="3" s="1"/>
  <c r="O22" i="5"/>
  <c r="N22" i="5"/>
  <c r="H23" i="3" s="1"/>
  <c r="R21" i="5"/>
  <c r="Q21" i="5"/>
  <c r="P21" i="5"/>
  <c r="D22" i="3" s="1"/>
  <c r="O21" i="5"/>
  <c r="N21" i="5"/>
  <c r="R20" i="5"/>
  <c r="G21" i="3" s="1"/>
  <c r="Q20" i="5"/>
  <c r="P20" i="5"/>
  <c r="O20" i="5"/>
  <c r="N20" i="5"/>
  <c r="H21" i="3" s="1"/>
  <c r="R19" i="5"/>
  <c r="G20" i="3" s="1"/>
  <c r="Q19" i="5"/>
  <c r="P19" i="5"/>
  <c r="O19" i="5"/>
  <c r="N19" i="5"/>
  <c r="H20" i="3" s="1"/>
  <c r="R18" i="5"/>
  <c r="I19" i="3" s="1"/>
  <c r="Q18" i="5"/>
  <c r="P18" i="5"/>
  <c r="E19" i="3" s="1"/>
  <c r="O18" i="5"/>
  <c r="N18" i="5"/>
  <c r="H19" i="3" s="1"/>
  <c r="R17" i="5"/>
  <c r="Q17" i="5"/>
  <c r="P17" i="5"/>
  <c r="F18" i="3" s="1"/>
  <c r="O17" i="5"/>
  <c r="N17" i="5"/>
  <c r="R16" i="5"/>
  <c r="G17" i="3" s="1"/>
  <c r="Q16" i="5"/>
  <c r="P16" i="5"/>
  <c r="O16" i="5"/>
  <c r="N16" i="5"/>
  <c r="H17" i="3" s="1"/>
  <c r="R15" i="5"/>
  <c r="G16" i="3" s="1"/>
  <c r="Q15" i="5"/>
  <c r="P15" i="5"/>
  <c r="O15" i="5"/>
  <c r="N15" i="5"/>
  <c r="H16" i="3" s="1"/>
  <c r="R14" i="5"/>
  <c r="I15" i="3" s="1"/>
  <c r="Q14" i="5"/>
  <c r="P14" i="5"/>
  <c r="O14" i="5"/>
  <c r="N14" i="5"/>
  <c r="H15" i="3" s="1"/>
  <c r="R13" i="5"/>
  <c r="Q13" i="5"/>
  <c r="P13" i="5"/>
  <c r="D14" i="3" s="1"/>
  <c r="O13" i="5"/>
  <c r="N13" i="5"/>
  <c r="H14" i="3" s="1"/>
  <c r="R12" i="5"/>
  <c r="G13" i="3" s="1"/>
  <c r="Q12" i="5"/>
  <c r="P12" i="5"/>
  <c r="O12" i="5"/>
  <c r="N12" i="5"/>
  <c r="H13" i="3" s="1"/>
  <c r="R11" i="5"/>
  <c r="G12" i="3" s="1"/>
  <c r="Q11" i="5"/>
  <c r="P11" i="5"/>
  <c r="O11" i="5"/>
  <c r="N11" i="5"/>
  <c r="H12" i="3" s="1"/>
  <c r="R10" i="5"/>
  <c r="I11" i="3" s="1"/>
  <c r="Q10" i="5"/>
  <c r="P10" i="5"/>
  <c r="O10" i="5"/>
  <c r="N10" i="5"/>
  <c r="H11" i="3" s="1"/>
  <c r="R9" i="5"/>
  <c r="Q9" i="5"/>
  <c r="P9" i="5"/>
  <c r="D10" i="3" s="1"/>
  <c r="O9" i="5"/>
  <c r="N9" i="5"/>
  <c r="H10" i="3" s="1"/>
  <c r="R8" i="5"/>
  <c r="G9" i="3" s="1"/>
  <c r="Q8" i="5"/>
  <c r="P8" i="5"/>
  <c r="O8" i="5"/>
  <c r="N8" i="5"/>
  <c r="H9" i="3" s="1"/>
  <c r="R7" i="5"/>
  <c r="G8" i="3" s="1"/>
  <c r="Q7" i="5"/>
  <c r="P7" i="5"/>
  <c r="O7" i="5"/>
  <c r="N7" i="5"/>
  <c r="H8" i="3" s="1"/>
  <c r="R6" i="5"/>
  <c r="I7" i="3" s="1"/>
  <c r="Q6" i="5"/>
  <c r="P6" i="5"/>
  <c r="E7" i="3" s="1"/>
  <c r="O6" i="5"/>
  <c r="N6" i="5"/>
  <c r="H7" i="3" s="1"/>
  <c r="R5" i="5"/>
  <c r="Q5" i="5"/>
  <c r="P5" i="5"/>
  <c r="D6" i="3" s="1"/>
  <c r="O5" i="5"/>
  <c r="N5" i="5"/>
  <c r="R4" i="5"/>
  <c r="G5" i="3" s="1"/>
  <c r="Q4" i="5"/>
  <c r="P4" i="5"/>
  <c r="O4" i="5"/>
  <c r="N4" i="5"/>
  <c r="H5" i="3" s="1"/>
  <c r="K39" i="2"/>
  <c r="K103" i="2"/>
  <c r="K125" i="2"/>
  <c r="K189" i="2"/>
  <c r="K142" i="2"/>
  <c r="K174" i="2"/>
  <c r="K85" i="2"/>
  <c r="K175" i="2"/>
  <c r="K31" i="2"/>
  <c r="K93" i="2"/>
  <c r="K138" i="2"/>
  <c r="K105" i="2"/>
  <c r="K51" i="2"/>
  <c r="K169" i="2"/>
  <c r="K156" i="2"/>
  <c r="K17" i="2"/>
  <c r="K57" i="2"/>
  <c r="K75" i="2"/>
  <c r="K81" i="2"/>
  <c r="K161" i="2"/>
  <c r="K128" i="2"/>
  <c r="K160" i="2"/>
  <c r="K53" i="2"/>
  <c r="K147" i="2"/>
  <c r="K89" i="2"/>
  <c r="K49" i="2"/>
  <c r="K8" i="2"/>
  <c r="K178" i="2"/>
  <c r="K183" i="2"/>
  <c r="K99" i="2"/>
  <c r="K185" i="2"/>
  <c r="K180" i="2"/>
  <c r="K113" i="2"/>
  <c r="K55" i="2"/>
  <c r="K29" i="2"/>
  <c r="K141" i="2"/>
  <c r="K118" i="2"/>
  <c r="K150" i="2"/>
  <c r="K182" i="2"/>
  <c r="K127" i="2"/>
  <c r="K12" i="2"/>
  <c r="K63" i="2"/>
  <c r="K133" i="2"/>
  <c r="K154" i="2"/>
  <c r="K135" i="2"/>
  <c r="K83" i="2"/>
  <c r="K116" i="2"/>
  <c r="K172" i="2"/>
  <c r="K123" i="2"/>
  <c r="K27" i="2"/>
  <c r="K91" i="2"/>
  <c r="K9" i="2"/>
  <c r="K177" i="2"/>
  <c r="K136" i="2"/>
  <c r="K168" i="2"/>
  <c r="K97" i="2"/>
  <c r="K163" i="2"/>
  <c r="K16" i="2"/>
  <c r="K115" i="2"/>
  <c r="K130" i="2"/>
  <c r="K65" i="2"/>
  <c r="K101" i="2"/>
  <c r="K61" i="2"/>
  <c r="K124" i="2"/>
  <c r="K77" i="2"/>
  <c r="K87" i="2"/>
  <c r="K173" i="2"/>
  <c r="K166" i="2"/>
  <c r="K159" i="2"/>
  <c r="K111" i="2"/>
  <c r="K186" i="2"/>
  <c r="K137" i="2"/>
  <c r="K25" i="2"/>
  <c r="K59" i="2"/>
  <c r="K145" i="2"/>
  <c r="K152" i="2"/>
  <c r="K131" i="2"/>
  <c r="K95" i="2"/>
  <c r="K162" i="2"/>
  <c r="K67" i="2"/>
  <c r="K164" i="2"/>
  <c r="K71" i="2"/>
  <c r="K69" i="2"/>
  <c r="K157" i="2"/>
  <c r="K126" i="2"/>
  <c r="K158" i="2"/>
  <c r="K190" i="2"/>
  <c r="K143" i="2"/>
  <c r="K73" i="2"/>
  <c r="K79" i="2"/>
  <c r="K165" i="2"/>
  <c r="K170" i="2"/>
  <c r="K167" i="2"/>
  <c r="K109" i="2"/>
  <c r="K132" i="2"/>
  <c r="K188" i="2"/>
  <c r="K155" i="2"/>
  <c r="K43" i="2"/>
  <c r="K107" i="2"/>
  <c r="K129" i="2"/>
  <c r="K20" i="2"/>
  <c r="K144" i="2"/>
  <c r="K176" i="2"/>
  <c r="K117" i="2"/>
  <c r="K179" i="2"/>
  <c r="K47" i="2"/>
  <c r="K149" i="2"/>
  <c r="K146" i="2"/>
  <c r="K119" i="2"/>
  <c r="K35" i="2"/>
  <c r="K121" i="2"/>
  <c r="K148" i="2"/>
  <c r="K139" i="2"/>
  <c r="K13" i="2"/>
  <c r="K134" i="2"/>
  <c r="K41" i="2"/>
  <c r="K21" i="2"/>
  <c r="K122" i="2"/>
  <c r="K45" i="2"/>
  <c r="K140" i="2"/>
  <c r="K187" i="2"/>
  <c r="K37" i="2"/>
  <c r="K120" i="2"/>
  <c r="K184" i="2"/>
  <c r="K33" i="2"/>
  <c r="K181" i="2"/>
  <c r="K151" i="2"/>
  <c r="K153" i="2"/>
  <c r="K171" i="2"/>
  <c r="J16" i="2" l="1"/>
  <c r="J21" i="2"/>
  <c r="J113" i="2"/>
  <c r="J101" i="2"/>
  <c r="J89" i="2"/>
  <c r="J73" i="2"/>
  <c r="J57" i="2"/>
  <c r="J45" i="2"/>
  <c r="J33" i="2"/>
  <c r="J12" i="2"/>
  <c r="J187" i="2"/>
  <c r="J183" i="2"/>
  <c r="J179" i="2"/>
  <c r="J175" i="2"/>
  <c r="J171" i="2"/>
  <c r="J167" i="2"/>
  <c r="J163" i="2"/>
  <c r="J159" i="2"/>
  <c r="J155" i="2"/>
  <c r="J151" i="2"/>
  <c r="J147" i="2"/>
  <c r="J143" i="2"/>
  <c r="J139" i="2"/>
  <c r="J135" i="2"/>
  <c r="J131" i="2"/>
  <c r="J127" i="2"/>
  <c r="J123" i="2"/>
  <c r="J119" i="2"/>
  <c r="J117" i="2"/>
  <c r="J5" i="2"/>
  <c r="J17" i="2"/>
  <c r="J105" i="2"/>
  <c r="J97" i="2"/>
  <c r="J85" i="2"/>
  <c r="J77" i="2"/>
  <c r="J65" i="2"/>
  <c r="J53" i="2"/>
  <c r="J41" i="2"/>
  <c r="J25" i="2"/>
  <c r="J188" i="2"/>
  <c r="J186" i="2"/>
  <c r="J184" i="2"/>
  <c r="J182" i="2"/>
  <c r="J180" i="2"/>
  <c r="J178" i="2"/>
  <c r="J176" i="2"/>
  <c r="J174" i="2"/>
  <c r="J172" i="2"/>
  <c r="J170" i="2"/>
  <c r="J168" i="2"/>
  <c r="J166" i="2"/>
  <c r="J164" i="2"/>
  <c r="J162" i="2"/>
  <c r="J160" i="2"/>
  <c r="J158" i="2"/>
  <c r="J156" i="2"/>
  <c r="J154" i="2"/>
  <c r="J152" i="2"/>
  <c r="J150" i="2"/>
  <c r="J148" i="2"/>
  <c r="J146" i="2"/>
  <c r="J144" i="2"/>
  <c r="J142" i="2"/>
  <c r="J140" i="2"/>
  <c r="J138" i="2"/>
  <c r="J136" i="2"/>
  <c r="J134" i="2"/>
  <c r="J132" i="2"/>
  <c r="J130" i="2"/>
  <c r="J128" i="2"/>
  <c r="J126" i="2"/>
  <c r="J124" i="2"/>
  <c r="J122" i="2"/>
  <c r="J120" i="2"/>
  <c r="J118" i="2"/>
  <c r="J116" i="2"/>
  <c r="J8" i="2"/>
  <c r="J20" i="2"/>
  <c r="J189" i="2"/>
  <c r="J185" i="2"/>
  <c r="J181" i="2"/>
  <c r="J177" i="2"/>
  <c r="J173" i="2"/>
  <c r="J169" i="2"/>
  <c r="J165" i="2"/>
  <c r="J161" i="2"/>
  <c r="J157" i="2"/>
  <c r="J153" i="2"/>
  <c r="J149" i="2"/>
  <c r="J145" i="2"/>
  <c r="J141" i="2"/>
  <c r="J137" i="2"/>
  <c r="J133" i="2"/>
  <c r="J129" i="2"/>
  <c r="J125" i="2"/>
  <c r="J121" i="2"/>
  <c r="J115" i="2"/>
  <c r="J9" i="2"/>
  <c r="J13" i="2"/>
  <c r="J109" i="2"/>
  <c r="J93" i="2"/>
  <c r="J81" i="2"/>
  <c r="J69" i="2"/>
  <c r="J61" i="2"/>
  <c r="J49" i="2"/>
  <c r="J37" i="2"/>
  <c r="J29" i="2"/>
  <c r="J111" i="2"/>
  <c r="J107" i="2"/>
  <c r="J103" i="2"/>
  <c r="J99" i="2"/>
  <c r="J95" i="2"/>
  <c r="J91" i="2"/>
  <c r="J87" i="2"/>
  <c r="J83" i="2"/>
  <c r="J79" i="2"/>
  <c r="J75" i="2"/>
  <c r="J71" i="2"/>
  <c r="J67" i="2"/>
  <c r="J63" i="2"/>
  <c r="J59" i="2"/>
  <c r="J55" i="2"/>
  <c r="J51" i="2"/>
  <c r="J47" i="2"/>
  <c r="J43" i="2"/>
  <c r="J39" i="2"/>
  <c r="J35" i="2"/>
  <c r="J31" i="2"/>
  <c r="J27" i="2"/>
  <c r="J4" i="2"/>
  <c r="U2" i="2"/>
  <c r="J190" i="2"/>
  <c r="I115" i="3"/>
  <c r="I111" i="3"/>
  <c r="I107" i="3"/>
  <c r="I103" i="3"/>
  <c r="I99" i="3"/>
  <c r="I95" i="3"/>
  <c r="I91" i="3"/>
  <c r="I87" i="3"/>
  <c r="I83" i="3"/>
  <c r="I79" i="3"/>
  <c r="I75" i="3"/>
  <c r="I71" i="3"/>
  <c r="G115" i="3"/>
  <c r="G99" i="3"/>
  <c r="G83" i="3"/>
  <c r="G6" i="3"/>
  <c r="I6" i="3"/>
  <c r="H18" i="3"/>
  <c r="G22" i="3"/>
  <c r="I22" i="3"/>
  <c r="G113" i="3"/>
  <c r="I113" i="3"/>
  <c r="G105" i="3"/>
  <c r="I105" i="3"/>
  <c r="G97" i="3"/>
  <c r="I97" i="3"/>
  <c r="G89" i="3"/>
  <c r="I89" i="3"/>
  <c r="G81" i="3"/>
  <c r="I81" i="3"/>
  <c r="G77" i="3"/>
  <c r="I77" i="3"/>
  <c r="G73" i="3"/>
  <c r="I73" i="3"/>
  <c r="G69" i="3"/>
  <c r="I69" i="3"/>
  <c r="I67" i="3"/>
  <c r="G67" i="3"/>
  <c r="G65" i="3"/>
  <c r="I65" i="3"/>
  <c r="I63" i="3"/>
  <c r="G63" i="3"/>
  <c r="G61" i="3"/>
  <c r="I61" i="3"/>
  <c r="I59" i="3"/>
  <c r="G59" i="3"/>
  <c r="G57" i="3"/>
  <c r="I57" i="3"/>
  <c r="I55" i="3"/>
  <c r="G55" i="3"/>
  <c r="G53" i="3"/>
  <c r="I53" i="3"/>
  <c r="I51" i="3"/>
  <c r="G51" i="3"/>
  <c r="G49" i="3"/>
  <c r="I49" i="3"/>
  <c r="I47" i="3"/>
  <c r="G47" i="3"/>
  <c r="G45" i="3"/>
  <c r="I45" i="3"/>
  <c r="I43" i="3"/>
  <c r="G43" i="3"/>
  <c r="G41" i="3"/>
  <c r="I41" i="3"/>
  <c r="I39" i="3"/>
  <c r="G39" i="3"/>
  <c r="G37" i="3"/>
  <c r="I37" i="3"/>
  <c r="I35" i="3"/>
  <c r="G35" i="3"/>
  <c r="G33" i="3"/>
  <c r="I33" i="3"/>
  <c r="I31" i="3"/>
  <c r="G31" i="3"/>
  <c r="G29" i="3"/>
  <c r="I29" i="3"/>
  <c r="I27" i="3"/>
  <c r="G27" i="3"/>
  <c r="G25" i="3"/>
  <c r="I25" i="3"/>
  <c r="G111" i="3"/>
  <c r="G95" i="3"/>
  <c r="G79" i="3"/>
  <c r="H6" i="3"/>
  <c r="G10" i="3"/>
  <c r="I10" i="3"/>
  <c r="G14" i="3"/>
  <c r="I14" i="3"/>
  <c r="G18" i="3"/>
  <c r="I18" i="3"/>
  <c r="H22" i="3"/>
  <c r="G109" i="3"/>
  <c r="I109" i="3"/>
  <c r="G101" i="3"/>
  <c r="I101" i="3"/>
  <c r="G93" i="3"/>
  <c r="I93" i="3"/>
  <c r="G85" i="3"/>
  <c r="I85" i="3"/>
  <c r="G107" i="3"/>
  <c r="G91" i="3"/>
  <c r="G75" i="3"/>
  <c r="H49" i="3"/>
  <c r="H45" i="3"/>
  <c r="H41" i="3"/>
  <c r="H37" i="3"/>
  <c r="H33" i="3"/>
  <c r="H29" i="3"/>
  <c r="H115" i="3"/>
  <c r="H111" i="3"/>
  <c r="H107" i="3"/>
  <c r="H103" i="3"/>
  <c r="H99" i="3"/>
  <c r="H95" i="3"/>
  <c r="H91" i="3"/>
  <c r="H87" i="3"/>
  <c r="H83" i="3"/>
  <c r="H79" i="3"/>
  <c r="H75" i="3"/>
  <c r="H71" i="3"/>
  <c r="H67" i="3"/>
  <c r="H63" i="3"/>
  <c r="H59" i="3"/>
  <c r="H55" i="3"/>
  <c r="I21" i="3"/>
  <c r="I17" i="3"/>
  <c r="I13" i="3"/>
  <c r="I9" i="3"/>
  <c r="I5" i="3"/>
  <c r="I112" i="3"/>
  <c r="I108" i="3"/>
  <c r="I104" i="3"/>
  <c r="I100" i="3"/>
  <c r="I96" i="3"/>
  <c r="I92" i="3"/>
  <c r="I88" i="3"/>
  <c r="I84" i="3"/>
  <c r="I80" i="3"/>
  <c r="I76" i="3"/>
  <c r="I72" i="3"/>
  <c r="I68" i="3"/>
  <c r="I64" i="3"/>
  <c r="I60" i="3"/>
  <c r="I56" i="3"/>
  <c r="I52" i="3"/>
  <c r="I48" i="3"/>
  <c r="I44" i="3"/>
  <c r="I40" i="3"/>
  <c r="I36" i="3"/>
  <c r="I32" i="3"/>
  <c r="I28" i="3"/>
  <c r="I24" i="3"/>
  <c r="I20" i="3"/>
  <c r="I16" i="3"/>
  <c r="I12" i="3"/>
  <c r="I8" i="3"/>
  <c r="H25" i="3"/>
  <c r="H51" i="3"/>
  <c r="H47" i="3"/>
  <c r="H43" i="3"/>
  <c r="H39" i="3"/>
  <c r="H35" i="3"/>
  <c r="H31" i="3"/>
  <c r="H27" i="3"/>
  <c r="H113" i="3"/>
  <c r="H109" i="3"/>
  <c r="H105" i="3"/>
  <c r="H101" i="3"/>
  <c r="H97" i="3"/>
  <c r="H93" i="3"/>
  <c r="H89" i="3"/>
  <c r="H85" i="3"/>
  <c r="H81" i="3"/>
  <c r="H77" i="3"/>
  <c r="H73" i="3"/>
  <c r="H69" i="3"/>
  <c r="H65" i="3"/>
  <c r="H61" i="3"/>
  <c r="H57" i="3"/>
  <c r="H53" i="3"/>
  <c r="E103" i="3"/>
  <c r="F22" i="3"/>
  <c r="F114" i="3"/>
  <c r="F102" i="3"/>
  <c r="F98" i="3"/>
  <c r="F82" i="3"/>
  <c r="F78" i="3"/>
  <c r="F66" i="3"/>
  <c r="F62" i="3"/>
  <c r="F50" i="3"/>
  <c r="F34" i="3"/>
  <c r="E87" i="3"/>
  <c r="E55" i="3"/>
  <c r="E58" i="3"/>
  <c r="D87" i="3"/>
  <c r="D55" i="3"/>
  <c r="E71" i="3"/>
  <c r="E111" i="3"/>
  <c r="E95" i="3"/>
  <c r="E79" i="3"/>
  <c r="E63" i="3"/>
  <c r="E47" i="3"/>
  <c r="E35" i="3"/>
  <c r="E31" i="3"/>
  <c r="F15" i="3"/>
  <c r="D15" i="3"/>
  <c r="E110" i="3"/>
  <c r="E90" i="3"/>
  <c r="E46" i="3"/>
  <c r="E30" i="3"/>
  <c r="D46" i="3"/>
  <c r="D30" i="3"/>
  <c r="E39" i="3"/>
  <c r="F86" i="3"/>
  <c r="F70" i="3"/>
  <c r="F54" i="3"/>
  <c r="F38" i="3"/>
  <c r="F8" i="3"/>
  <c r="E8" i="3"/>
  <c r="D8" i="3"/>
  <c r="F12" i="3"/>
  <c r="E12" i="3"/>
  <c r="D12" i="3"/>
  <c r="F16" i="3"/>
  <c r="E16" i="3"/>
  <c r="D16" i="3"/>
  <c r="E20" i="3"/>
  <c r="F20" i="3"/>
  <c r="D20" i="3"/>
  <c r="E24" i="3"/>
  <c r="F24" i="3"/>
  <c r="D24" i="3"/>
  <c r="E113" i="3"/>
  <c r="F113" i="3"/>
  <c r="D113" i="3"/>
  <c r="E109" i="3"/>
  <c r="F109" i="3"/>
  <c r="D109" i="3"/>
  <c r="E105" i="3"/>
  <c r="F105" i="3"/>
  <c r="D105" i="3"/>
  <c r="E101" i="3"/>
  <c r="F101" i="3"/>
  <c r="D101" i="3"/>
  <c r="E97" i="3"/>
  <c r="F97" i="3"/>
  <c r="D97" i="3"/>
  <c r="E93" i="3"/>
  <c r="F93" i="3"/>
  <c r="D93" i="3"/>
  <c r="E89" i="3"/>
  <c r="F89" i="3"/>
  <c r="D89" i="3"/>
  <c r="E85" i="3"/>
  <c r="F85" i="3"/>
  <c r="D85" i="3"/>
  <c r="E81" i="3"/>
  <c r="F81" i="3"/>
  <c r="D81" i="3"/>
  <c r="E53" i="3"/>
  <c r="E37" i="3"/>
  <c r="D110" i="3"/>
  <c r="D102" i="3"/>
  <c r="D78" i="3"/>
  <c r="D62" i="3"/>
  <c r="E115" i="3"/>
  <c r="E99" i="3"/>
  <c r="E83" i="3"/>
  <c r="E67" i="3"/>
  <c r="E51" i="3"/>
  <c r="F7" i="3"/>
  <c r="D7" i="3"/>
  <c r="F19" i="3"/>
  <c r="D19" i="3"/>
  <c r="E106" i="3"/>
  <c r="E94" i="3"/>
  <c r="E82" i="3"/>
  <c r="E74" i="3"/>
  <c r="E66" i="3"/>
  <c r="E54" i="3"/>
  <c r="E42" i="3"/>
  <c r="E34" i="3"/>
  <c r="E5" i="3"/>
  <c r="F5" i="3"/>
  <c r="D5" i="3"/>
  <c r="F9" i="3"/>
  <c r="E9" i="3"/>
  <c r="D9" i="3"/>
  <c r="F13" i="3"/>
  <c r="E13" i="3"/>
  <c r="D13" i="3"/>
  <c r="F17" i="3"/>
  <c r="E17" i="3"/>
  <c r="D17" i="3"/>
  <c r="E21" i="3"/>
  <c r="F21" i="3"/>
  <c r="D21" i="3"/>
  <c r="E25" i="3"/>
  <c r="F25" i="3"/>
  <c r="D25" i="3"/>
  <c r="E112" i="3"/>
  <c r="F112" i="3"/>
  <c r="D112" i="3"/>
  <c r="E108" i="3"/>
  <c r="F108" i="3"/>
  <c r="D108" i="3"/>
  <c r="E104" i="3"/>
  <c r="F104" i="3"/>
  <c r="D104" i="3"/>
  <c r="E100" i="3"/>
  <c r="F100" i="3"/>
  <c r="D100" i="3"/>
  <c r="E96" i="3"/>
  <c r="F96" i="3"/>
  <c r="D96" i="3"/>
  <c r="E92" i="3"/>
  <c r="F92" i="3"/>
  <c r="D92" i="3"/>
  <c r="E88" i="3"/>
  <c r="F88" i="3"/>
  <c r="D88" i="3"/>
  <c r="E84" i="3"/>
  <c r="F84" i="3"/>
  <c r="D84" i="3"/>
  <c r="E80" i="3"/>
  <c r="F80" i="3"/>
  <c r="D80" i="3"/>
  <c r="E76" i="3"/>
  <c r="F76" i="3"/>
  <c r="D76" i="3"/>
  <c r="E72" i="3"/>
  <c r="F72" i="3"/>
  <c r="D72" i="3"/>
  <c r="E68" i="3"/>
  <c r="F68" i="3"/>
  <c r="D68" i="3"/>
  <c r="E64" i="3"/>
  <c r="F64" i="3"/>
  <c r="D64" i="3"/>
  <c r="E60" i="3"/>
  <c r="F60" i="3"/>
  <c r="D60" i="3"/>
  <c r="E56" i="3"/>
  <c r="F56" i="3"/>
  <c r="D56" i="3"/>
  <c r="E52" i="3"/>
  <c r="F52" i="3"/>
  <c r="D52" i="3"/>
  <c r="E48" i="3"/>
  <c r="F48" i="3"/>
  <c r="D48" i="3"/>
  <c r="E44" i="3"/>
  <c r="F44" i="3"/>
  <c r="D44" i="3"/>
  <c r="E40" i="3"/>
  <c r="F40" i="3"/>
  <c r="D40" i="3"/>
  <c r="E36" i="3"/>
  <c r="F36" i="3"/>
  <c r="D36" i="3"/>
  <c r="E32" i="3"/>
  <c r="F32" i="3"/>
  <c r="D32" i="3"/>
  <c r="E28" i="3"/>
  <c r="F28" i="3"/>
  <c r="D28" i="3"/>
  <c r="E15" i="3"/>
  <c r="F110" i="3"/>
  <c r="F94" i="3"/>
  <c r="F46" i="3"/>
  <c r="F30" i="3"/>
  <c r="F11" i="3"/>
  <c r="D11" i="3"/>
  <c r="F23" i="3"/>
  <c r="D23" i="3"/>
  <c r="E114" i="3"/>
  <c r="E102" i="3"/>
  <c r="E98" i="3"/>
  <c r="E86" i="3"/>
  <c r="E78" i="3"/>
  <c r="E70" i="3"/>
  <c r="E62" i="3"/>
  <c r="E50" i="3"/>
  <c r="E38" i="3"/>
  <c r="E26" i="3"/>
  <c r="F6" i="3"/>
  <c r="E6" i="3"/>
  <c r="F10" i="3"/>
  <c r="E10" i="3"/>
  <c r="F14" i="3"/>
  <c r="E14" i="3"/>
  <c r="E18" i="3"/>
  <c r="E22" i="3"/>
  <c r="F115" i="3"/>
  <c r="F111" i="3"/>
  <c r="F107" i="3"/>
  <c r="F103" i="3"/>
  <c r="F99" i="3"/>
  <c r="F95" i="3"/>
  <c r="F91" i="3"/>
  <c r="F87" i="3"/>
  <c r="F83" i="3"/>
  <c r="F79" i="3"/>
  <c r="F75" i="3"/>
  <c r="F71" i="3"/>
  <c r="F67" i="3"/>
  <c r="F63" i="3"/>
  <c r="F59" i="3"/>
  <c r="F55" i="3"/>
  <c r="F51" i="3"/>
  <c r="F47" i="3"/>
  <c r="D47" i="3"/>
  <c r="F43" i="3"/>
  <c r="D43" i="3"/>
  <c r="F39" i="3"/>
  <c r="D39" i="3"/>
  <c r="F35" i="3"/>
  <c r="D35" i="3"/>
  <c r="F31" i="3"/>
  <c r="D31" i="3"/>
  <c r="F27" i="3"/>
  <c r="D27" i="3"/>
  <c r="D114" i="3"/>
  <c r="D106" i="3"/>
  <c r="D98" i="3"/>
  <c r="D90" i="3"/>
  <c r="D82" i="3"/>
  <c r="D74" i="3"/>
  <c r="D66" i="3"/>
  <c r="D58" i="3"/>
  <c r="D50" i="3"/>
  <c r="D34" i="3"/>
  <c r="D18" i="3"/>
  <c r="E107" i="3"/>
  <c r="E91" i="3"/>
  <c r="E75" i="3"/>
  <c r="E59" i="3"/>
  <c r="E43" i="3"/>
  <c r="E27" i="3"/>
  <c r="E11" i="3"/>
  <c r="F106" i="3"/>
  <c r="F90" i="3"/>
  <c r="F74" i="3"/>
  <c r="F58" i="3"/>
  <c r="F42" i="3"/>
  <c r="F26" i="3"/>
  <c r="D77" i="3"/>
  <c r="D73" i="3"/>
  <c r="D69" i="3"/>
  <c r="D65" i="3"/>
  <c r="D61" i="3"/>
  <c r="D57" i="3"/>
  <c r="D53" i="3"/>
  <c r="D49" i="3"/>
  <c r="D45" i="3"/>
  <c r="D41" i="3"/>
  <c r="D37" i="3"/>
  <c r="D33" i="3"/>
  <c r="D29" i="3"/>
  <c r="F77" i="3"/>
  <c r="F73" i="3"/>
  <c r="F69" i="3"/>
  <c r="F65" i="3"/>
  <c r="F61" i="3"/>
  <c r="F57" i="3"/>
  <c r="F53" i="3"/>
  <c r="F49" i="3"/>
  <c r="F45" i="3"/>
  <c r="F41" i="3"/>
  <c r="F37" i="3"/>
  <c r="F33" i="3"/>
  <c r="F29" i="3"/>
  <c r="E77" i="3"/>
  <c r="E73" i="3"/>
  <c r="E69" i="3"/>
  <c r="E65" i="3"/>
  <c r="E61" i="3"/>
  <c r="E57" i="3"/>
  <c r="E49" i="3"/>
  <c r="E45" i="3"/>
  <c r="E41" i="3"/>
  <c r="E33" i="3"/>
  <c r="E29" i="3"/>
  <c r="K36" i="2"/>
  <c r="K40" i="2"/>
  <c r="K34" i="2"/>
  <c r="K72" i="2"/>
  <c r="K23" i="2"/>
  <c r="V14" i="2"/>
  <c r="K80" i="2"/>
  <c r="V20" i="2"/>
  <c r="K14" i="2"/>
  <c r="K58" i="2"/>
  <c r="K84" i="2"/>
  <c r="K96" i="2"/>
  <c r="K68" i="2"/>
  <c r="K15" i="2"/>
  <c r="K52" i="2"/>
  <c r="K114" i="2"/>
  <c r="K86" i="2"/>
  <c r="K104" i="2"/>
  <c r="K6" i="2"/>
  <c r="K30" i="2"/>
  <c r="K38" i="2"/>
  <c r="K112" i="2"/>
  <c r="V25" i="2"/>
  <c r="K32" i="2"/>
  <c r="K66" i="2"/>
  <c r="V21" i="2"/>
  <c r="K54" i="2"/>
  <c r="K92" i="2"/>
  <c r="K48" i="2"/>
  <c r="K26" i="2"/>
  <c r="V12" i="2"/>
  <c r="K56" i="2"/>
  <c r="K24" i="2"/>
  <c r="K106" i="2"/>
  <c r="K22" i="2"/>
  <c r="K64" i="2"/>
  <c r="K18" i="2"/>
  <c r="K70" i="2"/>
  <c r="K94" i="2"/>
  <c r="K46" i="2"/>
  <c r="K90" i="2"/>
  <c r="K19" i="2"/>
  <c r="K42" i="2"/>
  <c r="K100" i="2"/>
  <c r="K110" i="2"/>
  <c r="K98" i="2"/>
  <c r="K28" i="2"/>
  <c r="K76" i="2"/>
  <c r="V26" i="2"/>
  <c r="K44" i="2"/>
  <c r="K62" i="2"/>
  <c r="K102" i="2"/>
  <c r="K50" i="2"/>
  <c r="V13" i="2"/>
  <c r="K78" i="2"/>
  <c r="V7" i="2"/>
  <c r="K74" i="2"/>
  <c r="V8" i="2"/>
  <c r="K10" i="2"/>
  <c r="V27" i="2"/>
  <c r="K88" i="2"/>
  <c r="K11" i="2"/>
  <c r="K82" i="2"/>
  <c r="K108" i="2"/>
  <c r="K60" i="2"/>
  <c r="J42" i="2" l="1"/>
  <c r="J90" i="2"/>
  <c r="J7" i="2"/>
  <c r="J72" i="2"/>
  <c r="J18" i="2"/>
  <c r="J30" i="2"/>
  <c r="J62" i="2"/>
  <c r="J94" i="2"/>
  <c r="J28" i="2"/>
  <c r="J60" i="2"/>
  <c r="J108" i="2"/>
  <c r="J26" i="2"/>
  <c r="J58" i="2"/>
  <c r="J106" i="2"/>
  <c r="J56" i="2"/>
  <c r="J104" i="2"/>
  <c r="J34" i="2"/>
  <c r="J50" i="2"/>
  <c r="J66" i="2"/>
  <c r="J82" i="2"/>
  <c r="J98" i="2"/>
  <c r="J15" i="2"/>
  <c r="J32" i="2"/>
  <c r="J48" i="2"/>
  <c r="J64" i="2"/>
  <c r="J80" i="2"/>
  <c r="J96" i="2"/>
  <c r="J112" i="2"/>
  <c r="J10" i="2"/>
  <c r="J74" i="2"/>
  <c r="J23" i="2"/>
  <c r="J40" i="2"/>
  <c r="J88" i="2"/>
  <c r="J46" i="2"/>
  <c r="J78" i="2"/>
  <c r="J110" i="2"/>
  <c r="J19" i="2"/>
  <c r="J44" i="2"/>
  <c r="J76" i="2"/>
  <c r="J92" i="2"/>
  <c r="J14" i="2"/>
  <c r="J38" i="2"/>
  <c r="J54" i="2"/>
  <c r="J70" i="2"/>
  <c r="J86" i="2"/>
  <c r="J102" i="2"/>
  <c r="J24" i="2"/>
  <c r="J11" i="2"/>
  <c r="J36" i="2"/>
  <c r="J52" i="2"/>
  <c r="J68" i="2"/>
  <c r="J84" i="2"/>
  <c r="J100" i="2"/>
  <c r="J22" i="2"/>
  <c r="J6" i="2"/>
  <c r="V28" i="2"/>
  <c r="V24" i="2"/>
  <c r="J114" i="2"/>
  <c r="V15" i="2"/>
  <c r="V11" i="2"/>
  <c r="X20" i="2"/>
  <c r="X26" i="2"/>
  <c r="X25" i="2"/>
  <c r="X27" i="2"/>
  <c r="X21" i="2"/>
  <c r="X28" i="2" l="1"/>
  <c r="X24" i="2"/>
</calcChain>
</file>

<file path=xl/sharedStrings.xml><?xml version="1.0" encoding="utf-8"?>
<sst xmlns="http://schemas.openxmlformats.org/spreadsheetml/2006/main" count="785" uniqueCount="293">
  <si>
    <t>dB</t>
  </si>
  <si>
    <r>
      <t>L</t>
    </r>
    <r>
      <rPr>
        <vertAlign val="subscript"/>
        <sz val="14"/>
        <color theme="1"/>
        <rFont val="Calibri"/>
        <family val="2"/>
        <scheme val="minor"/>
      </rPr>
      <t>A10,free-field</t>
    </r>
  </si>
  <si>
    <t>Prevailing noise level 2015</t>
  </si>
  <si>
    <t>&gt;=68</t>
  </si>
  <si>
    <t>Relevant level @ opening</t>
  </si>
  <si>
    <t>&gt; 1 dB</t>
  </si>
  <si>
    <t>Relevant - Prevailing @ 2016</t>
  </si>
  <si>
    <t>&gt;=1</t>
  </si>
  <si>
    <t>Effective contribution</t>
  </si>
  <si>
    <t>Relevant - Prevailing @ 2029</t>
  </si>
  <si>
    <t>2016 w/o change</t>
  </si>
  <si>
    <t>2029 w/o change</t>
  </si>
  <si>
    <t>2029 with change</t>
  </si>
  <si>
    <t>2016 with change</t>
  </si>
  <si>
    <t>Magnitude of impact</t>
  </si>
  <si>
    <t>Daytime</t>
  </si>
  <si>
    <t>Number of dwellings</t>
  </si>
  <si>
    <t>Number of other sensitive receptors</t>
  </si>
  <si>
    <t xml:space="preserve">0.1-0.9 </t>
  </si>
  <si>
    <t>Negligible</t>
  </si>
  <si>
    <t>1.0-2.9</t>
  </si>
  <si>
    <t>Minor</t>
  </si>
  <si>
    <t xml:space="preserve">3.0-4.9 </t>
  </si>
  <si>
    <t>Moderate</t>
  </si>
  <si>
    <t>5+</t>
  </si>
  <si>
    <t>Major</t>
  </si>
  <si>
    <t>0.1-2.9</t>
  </si>
  <si>
    <t>3.0-4.9</t>
  </si>
  <si>
    <t>5.0 - 9.9</t>
  </si>
  <si>
    <t xml:space="preserve">10+ </t>
  </si>
  <si>
    <t>short term DS - DM in 2016</t>
  </si>
  <si>
    <t>Night time</t>
  </si>
  <si>
    <r>
      <t>L</t>
    </r>
    <r>
      <rPr>
        <b/>
        <vertAlign val="subscript"/>
        <sz val="12"/>
        <rFont val="Calibri"/>
        <family val="2"/>
        <scheme val="minor"/>
      </rPr>
      <t>A10,1m façade.</t>
    </r>
    <r>
      <rPr>
        <b/>
        <vertAlign val="subscript"/>
        <sz val="12"/>
        <color rgb="FFFF0000"/>
        <rFont val="Calibri"/>
        <family val="2"/>
        <scheme val="minor"/>
      </rPr>
      <t xml:space="preserve"> </t>
    </r>
    <r>
      <rPr>
        <b/>
        <sz val="12"/>
        <color rgb="FFFF0000"/>
        <rFont val="Calibri"/>
        <family val="2"/>
        <scheme val="minor"/>
      </rPr>
      <t xml:space="preserve">Levels are at receiver positions. </t>
    </r>
  </si>
  <si>
    <t>Highest façade level</t>
  </si>
  <si>
    <t>Village Farm Bungalow</t>
  </si>
  <si>
    <t>Hillcrest Grove 1a</t>
  </si>
  <si>
    <t>Hillcrest Grove 1</t>
  </si>
  <si>
    <t>Hillcrest Grove 13</t>
  </si>
  <si>
    <t>Hillcrest Grove 21</t>
  </si>
  <si>
    <t>The Paddock 10</t>
  </si>
  <si>
    <t>The Paddock 12</t>
  </si>
  <si>
    <t>The Paddock 14</t>
  </si>
  <si>
    <t>The Paddock 17</t>
  </si>
  <si>
    <t>North Close 14</t>
  </si>
  <si>
    <t>North Close15</t>
  </si>
  <si>
    <t>North Close 7</t>
  </si>
  <si>
    <t>North Close 19</t>
  </si>
  <si>
    <t>North Close 22</t>
  </si>
  <si>
    <t>North Close 1</t>
  </si>
  <si>
    <t>North Lane 33</t>
  </si>
  <si>
    <t>North Lane 25</t>
  </si>
  <si>
    <t>North Lane 15</t>
  </si>
  <si>
    <t>North Lane 11</t>
  </si>
  <si>
    <t>North Lane 7</t>
  </si>
  <si>
    <t>Midbec</t>
  </si>
  <si>
    <t>Ashgill</t>
  </si>
  <si>
    <t>My Dene</t>
  </si>
  <si>
    <t>Belmont</t>
  </si>
  <si>
    <t>Hillcrest Grove 2</t>
  </si>
  <si>
    <t>Hillcrest Grove 10</t>
  </si>
  <si>
    <t>Floreat</t>
  </si>
  <si>
    <t>Domick</t>
  </si>
  <si>
    <t>St Peter's Primary School</t>
  </si>
  <si>
    <t>Bareen</t>
  </si>
  <si>
    <t>Gerrans</t>
  </si>
  <si>
    <t>Green Ingle</t>
  </si>
  <si>
    <t>Samarkand</t>
  </si>
  <si>
    <t>Lamorna</t>
  </si>
  <si>
    <t>the Cedars</t>
  </si>
  <si>
    <t>North Lane 16</t>
  </si>
  <si>
    <t>Pringles</t>
  </si>
  <si>
    <t>Dewondell</t>
  </si>
  <si>
    <t>North Lane 10</t>
  </si>
  <si>
    <t>North Lane 8</t>
  </si>
  <si>
    <t>North Lane 2</t>
  </si>
  <si>
    <t>Ashlea</t>
  </si>
  <si>
    <t>Veolan</t>
  </si>
  <si>
    <t>Greelea 4</t>
  </si>
  <si>
    <t>El Sub Sta 1</t>
  </si>
  <si>
    <t>El Sub Sta 6</t>
  </si>
  <si>
    <t>Greenlea 5</t>
  </si>
  <si>
    <t>Greenlea 11</t>
  </si>
  <si>
    <t>The Paddock 4</t>
  </si>
  <si>
    <t>The Paddock 1</t>
  </si>
  <si>
    <t>The Paddock 2</t>
  </si>
  <si>
    <t>Martindale Close 1</t>
  </si>
  <si>
    <t>Martindale Close 5</t>
  </si>
  <si>
    <t>Martindale Close 8</t>
  </si>
  <si>
    <t>Martindale Close 9</t>
  </si>
  <si>
    <t>The Paddock 9</t>
  </si>
  <si>
    <t>Manor Close 22</t>
  </si>
  <si>
    <t>Manor Close 21</t>
  </si>
  <si>
    <t>Manor Close 19</t>
  </si>
  <si>
    <t>Manor Close 20</t>
  </si>
  <si>
    <t>Manor Close 13</t>
  </si>
  <si>
    <t>Manor Close 7</t>
  </si>
  <si>
    <t>Westlands 18</t>
  </si>
  <si>
    <t>The Green 7</t>
  </si>
  <si>
    <t>The Green 8</t>
  </si>
  <si>
    <t>The Green 9</t>
  </si>
  <si>
    <t>The Green 2</t>
  </si>
  <si>
    <t>The Green 3</t>
  </si>
  <si>
    <t>The Green 5</t>
  </si>
  <si>
    <t>The Green 12</t>
  </si>
  <si>
    <t>The Green 12b</t>
  </si>
  <si>
    <t>The Green 15</t>
  </si>
  <si>
    <t>The Green 16</t>
  </si>
  <si>
    <t>The Green 1</t>
  </si>
  <si>
    <t>The Green 43</t>
  </si>
  <si>
    <t>The Green 33</t>
  </si>
  <si>
    <t>Westall</t>
  </si>
  <si>
    <t>Ivanhoe</t>
  </si>
  <si>
    <t>Kelvin</t>
  </si>
  <si>
    <t>St HIlda's Terrace</t>
  </si>
  <si>
    <t>Greenwyas</t>
  </si>
  <si>
    <t>HIllcroft</t>
  </si>
  <si>
    <t>The Croft</t>
  </si>
  <si>
    <t>Institue</t>
  </si>
  <si>
    <t>Nettherby</t>
  </si>
  <si>
    <t>Hannover House</t>
  </si>
  <si>
    <t>Sycamore House</t>
  </si>
  <si>
    <t>High Garth</t>
  </si>
  <si>
    <t>Hill Lodge</t>
  </si>
  <si>
    <t>Shindells</t>
  </si>
  <si>
    <t>Wyndlee</t>
  </si>
  <si>
    <t>Alwinds</t>
  </si>
  <si>
    <t>Windy Ridge</t>
  </si>
  <si>
    <t>Jersey Cottage</t>
  </si>
  <si>
    <t>Canterbury House</t>
  </si>
  <si>
    <t>Millstone House</t>
  </si>
  <si>
    <t>Elwick House</t>
  </si>
  <si>
    <t>Greencroft</t>
  </si>
  <si>
    <t>Bee Cott</t>
  </si>
  <si>
    <t>Church Bank Cottage</t>
  </si>
  <si>
    <t>Hazel Bank Cottage</t>
  </si>
  <si>
    <t>St Peter's Church</t>
  </si>
  <si>
    <t>Longcross</t>
  </si>
  <si>
    <t>Sunrise Cottage</t>
  </si>
  <si>
    <t>The Hawthorns</t>
  </si>
  <si>
    <t>Benknowle</t>
  </si>
  <si>
    <t>Mill House</t>
  </si>
  <si>
    <t>Woodland House</t>
  </si>
  <si>
    <t>2016 DM</t>
  </si>
  <si>
    <t>2016 DS</t>
  </si>
  <si>
    <t>2030  DM</t>
  </si>
  <si>
    <t>2030 DS</t>
  </si>
  <si>
    <t>2015 prevailing</t>
  </si>
  <si>
    <t>Long term comparison 1: DM2030 - DM2016</t>
  </si>
  <si>
    <t>Long term comparison 2: DS2030 - DM2016</t>
  </si>
  <si>
    <t>short term DS2016 - DM2016</t>
  </si>
  <si>
    <t>El Sub Sta 7</t>
  </si>
  <si>
    <t>Greenlea 1</t>
  </si>
  <si>
    <t>El Sub Sta 12</t>
  </si>
  <si>
    <t>El Sub Sta 14</t>
  </si>
  <si>
    <t>North Close 8</t>
  </si>
  <si>
    <t>North Close 9</t>
  </si>
  <si>
    <t>North Close 10</t>
  </si>
  <si>
    <t>North Close 11</t>
  </si>
  <si>
    <t>North Close 12</t>
  </si>
  <si>
    <t>North Close 13</t>
  </si>
  <si>
    <t>North Close 16</t>
  </si>
  <si>
    <t>North Close 17</t>
  </si>
  <si>
    <t>North Close 18</t>
  </si>
  <si>
    <t>North Close 20</t>
  </si>
  <si>
    <t>North Close 21</t>
  </si>
  <si>
    <t>North Close 2</t>
  </si>
  <si>
    <t>North Close 3</t>
  </si>
  <si>
    <t>North Close 4</t>
  </si>
  <si>
    <t>North Close 5</t>
  </si>
  <si>
    <t>North Close 6</t>
  </si>
  <si>
    <t>North Lane 17</t>
  </si>
  <si>
    <t>North Lane 19</t>
  </si>
  <si>
    <t>North Lane 21</t>
  </si>
  <si>
    <t>North Lane 23</t>
  </si>
  <si>
    <t>North Lane 27</t>
  </si>
  <si>
    <t>North Lane 29</t>
  </si>
  <si>
    <t>North Lane 31</t>
  </si>
  <si>
    <t>The Green 41</t>
  </si>
  <si>
    <t>The Green 39</t>
  </si>
  <si>
    <t>The Green 37</t>
  </si>
  <si>
    <t>The Green 35</t>
  </si>
  <si>
    <t>El Sub Sta 2</t>
  </si>
  <si>
    <t>El Sub Sta 3</t>
  </si>
  <si>
    <t>El Sub Sta 4</t>
  </si>
  <si>
    <t>El Sub Sta 5</t>
  </si>
  <si>
    <t>El Sub Sta 8</t>
  </si>
  <si>
    <t>El Sub Sta 9</t>
  </si>
  <si>
    <t>El Sub Sta 10</t>
  </si>
  <si>
    <t>El Sub Sta 11</t>
  </si>
  <si>
    <t>Greenlea 2</t>
  </si>
  <si>
    <t>Greenlea 3</t>
  </si>
  <si>
    <t>Greenlea 6</t>
  </si>
  <si>
    <t>Greenlea 7</t>
  </si>
  <si>
    <t>Greenlea 8</t>
  </si>
  <si>
    <t>Greenlea 9</t>
  </si>
  <si>
    <t>Greenlea 10</t>
  </si>
  <si>
    <t>The Paddock 5</t>
  </si>
  <si>
    <t>The Paddock 6</t>
  </si>
  <si>
    <t>The Paddock 7</t>
  </si>
  <si>
    <t>The Paddock 8</t>
  </si>
  <si>
    <t>Martindale Close 2</t>
  </si>
  <si>
    <t>Martindale Close 3</t>
  </si>
  <si>
    <t>Martindale Close 6</t>
  </si>
  <si>
    <t>Martindale Close 7</t>
  </si>
  <si>
    <t>Manor Close 1</t>
  </si>
  <si>
    <t>Manor Close 2</t>
  </si>
  <si>
    <t>Manor Close 3</t>
  </si>
  <si>
    <t>Manor Close 4</t>
  </si>
  <si>
    <t>Manor Close 5</t>
  </si>
  <si>
    <t>Manor Close 6</t>
  </si>
  <si>
    <t>Manor Close 8</t>
  </si>
  <si>
    <t>Manor Close 9</t>
  </si>
  <si>
    <t>Manor Close 10</t>
  </si>
  <si>
    <t>Manor Close 11</t>
  </si>
  <si>
    <t>Manor Close 12</t>
  </si>
  <si>
    <t>Manor Close 15</t>
  </si>
  <si>
    <t>Manor Close 16</t>
  </si>
  <si>
    <t>Manor Close 17</t>
  </si>
  <si>
    <t>Hillcrest Grove 3</t>
  </si>
  <si>
    <t>Hillcrest Grove 5</t>
  </si>
  <si>
    <t>Hillcrest Grove 7</t>
  </si>
  <si>
    <t>Hillcrest Grove 9</t>
  </si>
  <si>
    <t>Hillcrest Grove 11</t>
  </si>
  <si>
    <t>Hillcrest Grove 4</t>
  </si>
  <si>
    <t>0.1-0.9</t>
  </si>
  <si>
    <t>long term DM in 2030 - DM in 2016</t>
  </si>
  <si>
    <t>long term DS in 2030 - DM in 2016</t>
  </si>
  <si>
    <t>Total number of dwellings</t>
  </si>
  <si>
    <t>Other sesntive receptors</t>
  </si>
  <si>
    <t>Imapct magnitude</t>
  </si>
  <si>
    <t>Impact magnitude</t>
  </si>
  <si>
    <t>DM 2016</t>
  </si>
  <si>
    <t>DM 2030</t>
  </si>
  <si>
    <t>DS 2016</t>
  </si>
  <si>
    <t>DS 2030</t>
  </si>
  <si>
    <t>Prevailing</t>
  </si>
  <si>
    <t>NIR met</t>
  </si>
  <si>
    <t>No</t>
  </si>
  <si>
    <t>Change in nuisance level</t>
  </si>
  <si>
    <t>Do-Minimum</t>
  </si>
  <si>
    <t>Do-Something</t>
  </si>
  <si>
    <t>&lt; 10%</t>
  </si>
  <si>
    <t>10 &lt; 20%</t>
  </si>
  <si>
    <t>20 &lt; 30%</t>
  </si>
  <si>
    <t>30 &lt; 40%</t>
  </si>
  <si>
    <t>&gt;40%</t>
  </si>
  <si>
    <t>No change</t>
  </si>
  <si>
    <t>Increase in nuisance level</t>
  </si>
  <si>
    <t>Decrease in nuisance level</t>
  </si>
  <si>
    <t>DM</t>
  </si>
  <si>
    <t>DS</t>
  </si>
  <si>
    <t>LA10,18hr change</t>
  </si>
  <si>
    <t>Lnight,outside change</t>
  </si>
  <si>
    <t>Source</t>
  </si>
  <si>
    <t>Partial Level</t>
  </si>
  <si>
    <t>Name</t>
  </si>
  <si>
    <t>M.</t>
  </si>
  <si>
    <t>ID</t>
  </si>
  <si>
    <t>Measurement at North Lane</t>
  </si>
  <si>
    <t>LA10</t>
  </si>
  <si>
    <t>North Ln N1</t>
  </si>
  <si>
    <t xml:space="preserve"> </t>
  </si>
  <si>
    <t>!00!</t>
  </si>
  <si>
    <t>North Ln N2</t>
  </si>
  <si>
    <t>North Ln N3</t>
  </si>
  <si>
    <t>North Ln N4</t>
  </si>
  <si>
    <t>Elwick Rd W2</t>
  </si>
  <si>
    <t>Elwick Rd W3</t>
  </si>
  <si>
    <t>Elwick Rd para W1</t>
  </si>
  <si>
    <t>Elwcik Rd para W2</t>
  </si>
  <si>
    <t>Elwick Rd W4</t>
  </si>
  <si>
    <t>Elwick Rd W5</t>
  </si>
  <si>
    <t>Rd south to Elwick</t>
  </si>
  <si>
    <t>Rd btw Worset and Elwick</t>
  </si>
  <si>
    <t>Unknown</t>
  </si>
  <si>
    <t>-</t>
  </si>
  <si>
    <t>Elwick Rd W1</t>
  </si>
  <si>
    <t>Worset Ln</t>
  </si>
  <si>
    <t>A179</t>
  </si>
  <si>
    <t>Coal Ln</t>
  </si>
  <si>
    <t>A19 baseline SB M</t>
  </si>
  <si>
    <t>A19 baseline NB M</t>
  </si>
  <si>
    <t>A19 baseline NB N</t>
  </si>
  <si>
    <t>A19 baseline SB N</t>
  </si>
  <si>
    <t>Hillcrest Grove</t>
  </si>
  <si>
    <t>North Close</t>
  </si>
  <si>
    <t>Greenlea</t>
  </si>
  <si>
    <t>Manor Close</t>
  </si>
  <si>
    <t>Manor Close Bridge</t>
  </si>
  <si>
    <t>Manor Close South</t>
  </si>
  <si>
    <t>A19 baseline NB S</t>
  </si>
  <si>
    <t>A19 baseline SB S</t>
  </si>
  <si>
    <t>* warning: L10 should not be the sum of all the contribution of the 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</si>
</sst>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vertAlign val="subscript"/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9" fontId="13" fillId="0" borderId="0" applyFont="0" applyFill="0" applyBorder="0" applyAlignment="0" applyProtection="0"/>
  </cellStyleXfs>
  <cellXfs count="48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2" borderId="0" xfId="0" applyFont="1" applyFill="1"/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center" vertical="center"/>
    </xf>
    <xf numFmtId="1" fontId="3" fillId="2" borderId="0" xfId="0" applyNumberFormat="1" applyFont="1" applyFill="1" applyBorder="1" applyAlignment="1">
      <alignment horizontal="center" vertical="center"/>
    </xf>
    <xf numFmtId="0" fontId="6" fillId="0" borderId="0" xfId="0" applyFont="1"/>
    <xf numFmtId="0" fontId="0" fillId="0" borderId="0" xfId="0" applyAlignment="1">
      <alignment wrapText="1"/>
    </xf>
    <xf numFmtId="1" fontId="6" fillId="0" borderId="0" xfId="0" applyNumberFormat="1" applyFont="1"/>
    <xf numFmtId="0" fontId="9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3" fillId="2" borderId="2" xfId="0" applyFont="1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5" borderId="0" xfId="0" applyFill="1"/>
    <xf numFmtId="164" fontId="0" fillId="5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0" borderId="0" xfId="0" applyNumberFormat="1"/>
    <xf numFmtId="0" fontId="0" fillId="0" borderId="3" xfId="0" applyBorder="1"/>
    <xf numFmtId="0" fontId="0" fillId="0" borderId="3" xfId="0" applyBorder="1" applyAlignment="1">
      <alignment horizontal="center" vertical="center"/>
    </xf>
    <xf numFmtId="9" fontId="0" fillId="0" borderId="0" xfId="3" applyFont="1"/>
    <xf numFmtId="0" fontId="0" fillId="0" borderId="0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4" fontId="0" fillId="5" borderId="0" xfId="0" applyNumberFormat="1" applyFill="1"/>
    <xf numFmtId="0" fontId="0" fillId="5" borderId="0" xfId="0" applyFill="1" applyAlignment="1">
      <alignment horizontal="center" vertical="center"/>
    </xf>
    <xf numFmtId="9" fontId="0" fillId="5" borderId="0" xfId="3" applyFont="1" applyFill="1"/>
    <xf numFmtId="0" fontId="0" fillId="0" borderId="0" xfId="0" applyNumberFormat="1" applyAlignment="1">
      <alignment horizontal="center" vertical="center"/>
    </xf>
    <xf numFmtId="0" fontId="15" fillId="6" borderId="0" xfId="0" applyFont="1" applyFill="1" applyBorder="1"/>
    <xf numFmtId="0" fontId="15" fillId="6" borderId="0" xfId="0" applyFont="1" applyFill="1" applyBorder="1" applyAlignment="1">
      <alignment horizontal="center"/>
    </xf>
    <xf numFmtId="0" fontId="15" fillId="6" borderId="3" xfId="0" applyFont="1" applyFill="1" applyBorder="1"/>
    <xf numFmtId="0" fontId="14" fillId="6" borderId="0" xfId="0" applyFont="1" applyFill="1" applyBorder="1"/>
    <xf numFmtId="0" fontId="14" fillId="6" borderId="0" xfId="0" applyFont="1" applyFill="1" applyBorder="1" applyAlignment="1">
      <alignment horizontal="center"/>
    </xf>
    <xf numFmtId="0" fontId="14" fillId="6" borderId="3" xfId="0" applyFont="1" applyFill="1" applyBorder="1"/>
    <xf numFmtId="0" fontId="10" fillId="3" borderId="0" xfId="1" applyAlignment="1">
      <alignment horizontal="center" vertical="center"/>
    </xf>
    <xf numFmtId="0" fontId="11" fillId="4" borderId="0" xfId="2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6" borderId="3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</cellXfs>
  <cellStyles count="4">
    <cellStyle name="Good" xfId="1" builtinId="26"/>
    <cellStyle name="Neutral" xfId="2" builtinId="28"/>
    <cellStyle name="Normal" xfId="0" builtinId="0"/>
    <cellStyle name="Percent" xfId="3" builtinId="5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B6659-858F-429F-B039-0CEAC77D673A}">
  <sheetPr codeName="Sheet1"/>
  <dimension ref="B1:AB190"/>
  <sheetViews>
    <sheetView topLeftCell="B1" workbookViewId="0">
      <selection activeCell="J12" sqref="J12"/>
    </sheetView>
  </sheetViews>
  <sheetFormatPr defaultRowHeight="15" x14ac:dyDescent="0.25"/>
  <cols>
    <col min="1" max="1" width="23.28515625" bestFit="1" customWidth="1"/>
    <col min="2" max="2" width="22.85546875" bestFit="1" customWidth="1"/>
    <col min="3" max="3" width="16" customWidth="1"/>
    <col min="4" max="4" width="17.28515625" customWidth="1"/>
    <col min="5" max="5" width="9.5703125" bestFit="1" customWidth="1"/>
    <col min="6" max="6" width="11.85546875" customWidth="1"/>
    <col min="7" max="7" width="12.5703125" customWidth="1"/>
    <col min="13" max="13" width="22.85546875" bestFit="1" customWidth="1"/>
    <col min="14" max="14" width="27.28515625" bestFit="1" customWidth="1"/>
    <col min="15" max="15" width="18" bestFit="1" customWidth="1"/>
    <col min="16" max="16" width="18.42578125" bestFit="1" customWidth="1"/>
    <col min="17" max="17" width="18" bestFit="1" customWidth="1"/>
    <col min="18" max="18" width="18.42578125" bestFit="1" customWidth="1"/>
    <col min="20" max="20" width="27.85546875" customWidth="1"/>
    <col min="21" max="22" width="29" bestFit="1" customWidth="1"/>
    <col min="23" max="23" width="20.5703125" bestFit="1" customWidth="1"/>
    <col min="25" max="25" width="22.85546875" bestFit="1" customWidth="1"/>
    <col min="26" max="26" width="24.140625" bestFit="1" customWidth="1"/>
    <col min="27" max="27" width="29" bestFit="1" customWidth="1"/>
    <col min="28" max="28" width="20.5703125" bestFit="1" customWidth="1"/>
  </cols>
  <sheetData>
    <row r="1" spans="2:28" ht="33" customHeight="1" x14ac:dyDescent="0.25">
      <c r="C1" s="2"/>
      <c r="D1" s="2"/>
      <c r="E1" s="3" t="s">
        <v>1</v>
      </c>
      <c r="F1" s="2"/>
      <c r="G1" s="2"/>
      <c r="H1" s="2"/>
      <c r="I1" s="2"/>
      <c r="J1" s="2"/>
      <c r="K1" s="2"/>
      <c r="M1" s="6"/>
      <c r="N1" s="7"/>
      <c r="O1" s="7"/>
      <c r="P1" s="7" t="s">
        <v>32</v>
      </c>
      <c r="Q1" s="7"/>
      <c r="R1" s="7"/>
      <c r="S1" s="2"/>
      <c r="T1" s="2"/>
      <c r="V1" s="2"/>
      <c r="Y1" s="2"/>
      <c r="AA1" s="2"/>
    </row>
    <row r="2" spans="2:28" ht="15.75" x14ac:dyDescent="0.25">
      <c r="C2" s="2" t="s">
        <v>146</v>
      </c>
      <c r="D2" s="2" t="s">
        <v>142</v>
      </c>
      <c r="E2" s="2" t="s">
        <v>143</v>
      </c>
      <c r="F2" s="2" t="s">
        <v>144</v>
      </c>
      <c r="G2" s="2" t="s">
        <v>145</v>
      </c>
      <c r="H2" s="2"/>
      <c r="I2" s="2"/>
      <c r="J2" s="2"/>
      <c r="K2" s="2"/>
      <c r="M2" s="6"/>
      <c r="N2" s="7" t="s">
        <v>2</v>
      </c>
      <c r="O2" s="7" t="s">
        <v>10</v>
      </c>
      <c r="P2" s="7" t="s">
        <v>13</v>
      </c>
      <c r="Q2" s="7" t="s">
        <v>11</v>
      </c>
      <c r="R2" s="7" t="s">
        <v>12</v>
      </c>
      <c r="S2" s="2"/>
      <c r="U2" s="2"/>
      <c r="V2" s="2"/>
      <c r="W2" s="2"/>
      <c r="Z2" s="2"/>
      <c r="AA2" s="2"/>
      <c r="AB2" s="2"/>
    </row>
    <row r="3" spans="2:28" ht="15.75" x14ac:dyDescent="0.25">
      <c r="C3" s="2" t="s">
        <v>0</v>
      </c>
      <c r="D3" s="2" t="s">
        <v>0</v>
      </c>
      <c r="E3" s="2" t="s">
        <v>0</v>
      </c>
      <c r="F3" s="2" t="s">
        <v>0</v>
      </c>
      <c r="G3" s="2" t="s">
        <v>0</v>
      </c>
      <c r="H3" s="2"/>
      <c r="I3" s="2"/>
      <c r="J3" s="2"/>
      <c r="K3" s="2"/>
      <c r="M3" s="18"/>
      <c r="N3" s="8" t="s">
        <v>0</v>
      </c>
      <c r="O3" s="8" t="s">
        <v>0</v>
      </c>
      <c r="P3" s="8" t="s">
        <v>0</v>
      </c>
      <c r="Q3" s="8" t="s">
        <v>0</v>
      </c>
      <c r="R3" s="8" t="s">
        <v>0</v>
      </c>
      <c r="S3" s="2"/>
      <c r="T3" s="2"/>
      <c r="U3" s="2"/>
      <c r="V3" s="2"/>
      <c r="W3" s="2"/>
      <c r="Y3" s="2"/>
      <c r="Z3" s="2"/>
      <c r="AA3" s="2"/>
      <c r="AB3" s="2"/>
    </row>
    <row r="4" spans="2:28" ht="15.75" x14ac:dyDescent="0.25">
      <c r="B4" t="s">
        <v>34</v>
      </c>
      <c r="C4">
        <v>62.6</v>
      </c>
      <c r="D4">
        <v>62.7</v>
      </c>
      <c r="E4">
        <v>62.8</v>
      </c>
      <c r="F4">
        <v>63.2</v>
      </c>
      <c r="G4">
        <v>63.5</v>
      </c>
      <c r="M4" s="17" t="s">
        <v>34</v>
      </c>
      <c r="N4" s="9">
        <f t="shared" ref="N4:N24" si="0">C4+2.5</f>
        <v>65.099999999999994</v>
      </c>
      <c r="O4" s="9">
        <f t="shared" ref="O4:O24" si="1">D4+2.5</f>
        <v>65.2</v>
      </c>
      <c r="P4" s="9">
        <f t="shared" ref="P4:P24" si="2">E4+2.5</f>
        <v>65.3</v>
      </c>
      <c r="Q4" s="9">
        <f t="shared" ref="Q4:R19" si="3">F4+2.5</f>
        <v>65.7</v>
      </c>
      <c r="R4" s="9">
        <f t="shared" si="3"/>
        <v>66</v>
      </c>
      <c r="U4" s="4"/>
      <c r="V4" s="5"/>
      <c r="W4" s="5"/>
      <c r="Z4" s="4"/>
      <c r="AA4" s="5"/>
      <c r="AB4" s="5"/>
    </row>
    <row r="5" spans="2:28" ht="15.75" x14ac:dyDescent="0.25">
      <c r="B5" t="s">
        <v>35</v>
      </c>
      <c r="C5">
        <v>59.9</v>
      </c>
      <c r="D5">
        <v>60</v>
      </c>
      <c r="E5">
        <v>60.1</v>
      </c>
      <c r="F5">
        <v>60.5</v>
      </c>
      <c r="G5">
        <v>60.9</v>
      </c>
      <c r="M5" s="17" t="s">
        <v>35</v>
      </c>
      <c r="N5" s="11">
        <f t="shared" si="0"/>
        <v>62.4</v>
      </c>
      <c r="O5" s="10">
        <f t="shared" si="1"/>
        <v>62.5</v>
      </c>
      <c r="P5" s="10">
        <f t="shared" si="2"/>
        <v>62.6</v>
      </c>
      <c r="Q5" s="10">
        <f t="shared" si="3"/>
        <v>63</v>
      </c>
      <c r="R5" s="10">
        <f t="shared" si="3"/>
        <v>63.4</v>
      </c>
      <c r="U5" s="4"/>
      <c r="V5" s="5"/>
      <c r="W5" s="5"/>
      <c r="Z5" s="4"/>
      <c r="AA5" s="5"/>
      <c r="AB5" s="5"/>
    </row>
    <row r="6" spans="2:28" ht="15.75" x14ac:dyDescent="0.25">
      <c r="B6" t="s">
        <v>36</v>
      </c>
      <c r="C6">
        <v>61.4</v>
      </c>
      <c r="D6">
        <v>61.5</v>
      </c>
      <c r="E6">
        <v>61.6</v>
      </c>
      <c r="F6">
        <v>62</v>
      </c>
      <c r="G6">
        <v>62.3</v>
      </c>
      <c r="M6" s="17" t="s">
        <v>36</v>
      </c>
      <c r="N6" s="11">
        <f t="shared" si="0"/>
        <v>63.9</v>
      </c>
      <c r="O6" s="10">
        <f t="shared" si="1"/>
        <v>64</v>
      </c>
      <c r="P6" s="10">
        <f t="shared" si="2"/>
        <v>64.099999999999994</v>
      </c>
      <c r="Q6" s="10">
        <f t="shared" si="3"/>
        <v>64.5</v>
      </c>
      <c r="R6" s="10">
        <f t="shared" si="3"/>
        <v>64.8</v>
      </c>
      <c r="U6" s="4"/>
      <c r="V6" s="5"/>
      <c r="W6" s="5"/>
      <c r="Z6" s="4"/>
      <c r="AA6" s="5"/>
      <c r="AB6" s="5"/>
    </row>
    <row r="7" spans="2:28" ht="15.75" x14ac:dyDescent="0.25">
      <c r="B7" t="s">
        <v>37</v>
      </c>
      <c r="C7">
        <v>62</v>
      </c>
      <c r="D7">
        <v>62</v>
      </c>
      <c r="E7">
        <v>62</v>
      </c>
      <c r="F7">
        <v>62.6</v>
      </c>
      <c r="G7">
        <v>62.7</v>
      </c>
      <c r="M7" s="17" t="s">
        <v>37</v>
      </c>
      <c r="N7" s="11">
        <f t="shared" si="0"/>
        <v>64.5</v>
      </c>
      <c r="O7" s="10">
        <f t="shared" si="1"/>
        <v>64.5</v>
      </c>
      <c r="P7" s="10">
        <f t="shared" si="2"/>
        <v>64.5</v>
      </c>
      <c r="Q7" s="10">
        <f t="shared" si="3"/>
        <v>65.099999999999994</v>
      </c>
      <c r="R7" s="10">
        <f t="shared" si="3"/>
        <v>65.2</v>
      </c>
      <c r="U7" s="4"/>
      <c r="V7" s="5"/>
      <c r="W7" s="5"/>
      <c r="Z7" s="4"/>
      <c r="AA7" s="5"/>
      <c r="AB7" s="5"/>
    </row>
    <row r="8" spans="2:28" ht="15.75" x14ac:dyDescent="0.25">
      <c r="B8" t="s">
        <v>38</v>
      </c>
      <c r="C8">
        <v>61.5</v>
      </c>
      <c r="D8">
        <v>61.5</v>
      </c>
      <c r="E8">
        <v>61.5</v>
      </c>
      <c r="F8">
        <v>62.1</v>
      </c>
      <c r="G8">
        <v>62.2</v>
      </c>
      <c r="M8" s="17" t="s">
        <v>38</v>
      </c>
      <c r="N8" s="11">
        <f t="shared" si="0"/>
        <v>64</v>
      </c>
      <c r="O8" s="10">
        <f t="shared" si="1"/>
        <v>64</v>
      </c>
      <c r="P8" s="10">
        <f t="shared" si="2"/>
        <v>64</v>
      </c>
      <c r="Q8" s="10">
        <f t="shared" si="3"/>
        <v>64.599999999999994</v>
      </c>
      <c r="R8" s="10">
        <f t="shared" si="3"/>
        <v>64.7</v>
      </c>
      <c r="U8" s="4"/>
      <c r="V8" s="5"/>
      <c r="W8" s="5"/>
      <c r="Z8" s="4"/>
      <c r="AA8" s="5"/>
      <c r="AB8" s="5"/>
    </row>
    <row r="9" spans="2:28" ht="15.75" x14ac:dyDescent="0.25">
      <c r="B9" t="s">
        <v>39</v>
      </c>
      <c r="C9">
        <v>48.6</v>
      </c>
      <c r="D9">
        <v>48.7</v>
      </c>
      <c r="E9">
        <v>48.9</v>
      </c>
      <c r="F9">
        <v>49.3</v>
      </c>
      <c r="G9">
        <v>49.6</v>
      </c>
      <c r="M9" s="17" t="s">
        <v>39</v>
      </c>
      <c r="N9" s="11">
        <f t="shared" si="0"/>
        <v>51.1</v>
      </c>
      <c r="O9" s="10">
        <f t="shared" si="1"/>
        <v>51.2</v>
      </c>
      <c r="P9" s="10">
        <f t="shared" si="2"/>
        <v>51.4</v>
      </c>
      <c r="Q9" s="10">
        <f t="shared" si="3"/>
        <v>51.8</v>
      </c>
      <c r="R9" s="10">
        <f t="shared" si="3"/>
        <v>52.1</v>
      </c>
      <c r="U9" s="4"/>
      <c r="V9" s="5"/>
      <c r="W9" s="5"/>
      <c r="Z9" s="4"/>
      <c r="AA9" s="5"/>
      <c r="AB9" s="5"/>
    </row>
    <row r="10" spans="2:28" ht="15.75" x14ac:dyDescent="0.25">
      <c r="B10" t="s">
        <v>40</v>
      </c>
      <c r="C10">
        <v>48.5</v>
      </c>
      <c r="D10">
        <v>48.5</v>
      </c>
      <c r="E10">
        <v>48.6</v>
      </c>
      <c r="F10">
        <v>49.1</v>
      </c>
      <c r="G10">
        <v>49.4</v>
      </c>
      <c r="M10" s="17" t="s">
        <v>40</v>
      </c>
      <c r="N10" s="11">
        <f t="shared" si="0"/>
        <v>51</v>
      </c>
      <c r="O10" s="10">
        <f t="shared" si="1"/>
        <v>51</v>
      </c>
      <c r="P10" s="10">
        <f t="shared" si="2"/>
        <v>51.1</v>
      </c>
      <c r="Q10" s="10">
        <f t="shared" si="3"/>
        <v>51.6</v>
      </c>
      <c r="R10" s="10">
        <f t="shared" si="3"/>
        <v>51.9</v>
      </c>
      <c r="U10" s="4"/>
      <c r="V10" s="5"/>
      <c r="W10" s="5"/>
      <c r="Z10" s="4"/>
      <c r="AA10" s="5"/>
      <c r="AB10" s="5"/>
    </row>
    <row r="11" spans="2:28" ht="15.75" x14ac:dyDescent="0.25">
      <c r="B11" t="s">
        <v>41</v>
      </c>
      <c r="C11">
        <v>48.7</v>
      </c>
      <c r="D11">
        <v>48.7</v>
      </c>
      <c r="E11">
        <v>48.7</v>
      </c>
      <c r="F11">
        <v>49.3</v>
      </c>
      <c r="G11">
        <v>49.5</v>
      </c>
      <c r="M11" s="17" t="s">
        <v>41</v>
      </c>
      <c r="N11" s="11">
        <f t="shared" si="0"/>
        <v>51.2</v>
      </c>
      <c r="O11" s="10">
        <f t="shared" si="1"/>
        <v>51.2</v>
      </c>
      <c r="P11" s="10">
        <f t="shared" si="2"/>
        <v>51.2</v>
      </c>
      <c r="Q11" s="10">
        <f t="shared" si="3"/>
        <v>51.8</v>
      </c>
      <c r="R11" s="10">
        <f t="shared" si="3"/>
        <v>52</v>
      </c>
      <c r="U11" s="4"/>
      <c r="V11" s="5"/>
      <c r="W11" s="5"/>
      <c r="Z11" s="4"/>
      <c r="AA11" s="5"/>
      <c r="AB11" s="5"/>
    </row>
    <row r="12" spans="2:28" ht="15.75" x14ac:dyDescent="0.25">
      <c r="B12" t="s">
        <v>42</v>
      </c>
      <c r="C12">
        <v>48</v>
      </c>
      <c r="D12">
        <v>48.1</v>
      </c>
      <c r="E12">
        <v>48</v>
      </c>
      <c r="F12">
        <v>48.6</v>
      </c>
      <c r="G12">
        <v>48.8</v>
      </c>
      <c r="M12" s="17" t="s">
        <v>42</v>
      </c>
      <c r="N12" s="11">
        <f t="shared" si="0"/>
        <v>50.5</v>
      </c>
      <c r="O12" s="10">
        <f t="shared" si="1"/>
        <v>50.6</v>
      </c>
      <c r="P12" s="10">
        <f t="shared" si="2"/>
        <v>50.5</v>
      </c>
      <c r="Q12" s="10">
        <f t="shared" si="3"/>
        <v>51.1</v>
      </c>
      <c r="R12" s="10">
        <f t="shared" si="3"/>
        <v>51.3</v>
      </c>
      <c r="U12" s="4"/>
      <c r="V12" s="5"/>
      <c r="W12" s="5"/>
      <c r="Z12" s="4"/>
      <c r="AA12" s="5"/>
      <c r="AB12" s="5"/>
    </row>
    <row r="13" spans="2:28" ht="15.75" x14ac:dyDescent="0.25">
      <c r="B13" t="s">
        <v>43</v>
      </c>
      <c r="C13">
        <v>64.8</v>
      </c>
      <c r="D13">
        <v>64.900000000000006</v>
      </c>
      <c r="E13">
        <v>64.900000000000006</v>
      </c>
      <c r="F13">
        <v>65.3</v>
      </c>
      <c r="G13">
        <v>65.599999999999994</v>
      </c>
      <c r="M13" s="17" t="s">
        <v>43</v>
      </c>
      <c r="N13" s="11">
        <f t="shared" si="0"/>
        <v>67.3</v>
      </c>
      <c r="O13" s="10">
        <f t="shared" si="1"/>
        <v>67.400000000000006</v>
      </c>
      <c r="P13" s="10">
        <f t="shared" si="2"/>
        <v>67.400000000000006</v>
      </c>
      <c r="Q13" s="10">
        <f t="shared" si="3"/>
        <v>67.8</v>
      </c>
      <c r="R13" s="10">
        <f t="shared" si="3"/>
        <v>68.099999999999994</v>
      </c>
      <c r="U13" s="4"/>
      <c r="V13" s="5"/>
      <c r="W13" s="5"/>
      <c r="Z13" s="4"/>
      <c r="AA13" s="5"/>
      <c r="AB13" s="5"/>
    </row>
    <row r="14" spans="2:28" ht="15.75" x14ac:dyDescent="0.25">
      <c r="B14" t="s">
        <v>44</v>
      </c>
      <c r="C14">
        <v>57</v>
      </c>
      <c r="D14">
        <v>57.1</v>
      </c>
      <c r="E14">
        <v>56.9</v>
      </c>
      <c r="F14">
        <v>56.4</v>
      </c>
      <c r="G14">
        <v>57.7</v>
      </c>
      <c r="M14" s="17" t="s">
        <v>44</v>
      </c>
      <c r="N14" s="11">
        <f t="shared" si="0"/>
        <v>59.5</v>
      </c>
      <c r="O14" s="10">
        <f t="shared" si="1"/>
        <v>59.6</v>
      </c>
      <c r="P14" s="10">
        <f t="shared" si="2"/>
        <v>59.4</v>
      </c>
      <c r="Q14" s="10">
        <f t="shared" si="3"/>
        <v>58.9</v>
      </c>
      <c r="R14" s="10">
        <f t="shared" si="3"/>
        <v>60.2</v>
      </c>
      <c r="U14" s="4"/>
      <c r="V14" s="5"/>
      <c r="W14" s="5"/>
      <c r="Z14" s="4"/>
      <c r="AA14" s="5"/>
      <c r="AB14" s="5"/>
    </row>
    <row r="15" spans="2:28" ht="15.75" x14ac:dyDescent="0.25">
      <c r="B15" t="s">
        <v>45</v>
      </c>
      <c r="C15">
        <v>54.1</v>
      </c>
      <c r="D15">
        <v>54.2</v>
      </c>
      <c r="E15">
        <v>53.6</v>
      </c>
      <c r="F15">
        <v>54.4</v>
      </c>
      <c r="G15">
        <v>54.3</v>
      </c>
      <c r="M15" s="17" t="s">
        <v>45</v>
      </c>
      <c r="N15" s="11">
        <f t="shared" si="0"/>
        <v>56.6</v>
      </c>
      <c r="O15" s="10">
        <f t="shared" si="1"/>
        <v>56.7</v>
      </c>
      <c r="P15" s="10">
        <f t="shared" si="2"/>
        <v>56.1</v>
      </c>
      <c r="Q15" s="10">
        <f t="shared" si="3"/>
        <v>56.9</v>
      </c>
      <c r="R15" s="10">
        <f t="shared" si="3"/>
        <v>56.8</v>
      </c>
      <c r="U15" s="4"/>
      <c r="V15" s="5"/>
      <c r="W15" s="5"/>
      <c r="Z15" s="4"/>
      <c r="AA15" s="5"/>
      <c r="AB15" s="5"/>
    </row>
    <row r="16" spans="2:28" ht="15.75" x14ac:dyDescent="0.25">
      <c r="B16" t="s">
        <v>46</v>
      </c>
      <c r="C16">
        <v>59.3</v>
      </c>
      <c r="D16">
        <v>59.3</v>
      </c>
      <c r="E16">
        <v>59.2</v>
      </c>
      <c r="F16">
        <v>59.8</v>
      </c>
      <c r="G16">
        <v>60</v>
      </c>
      <c r="M16" s="17" t="s">
        <v>46</v>
      </c>
      <c r="N16" s="11">
        <f t="shared" si="0"/>
        <v>61.8</v>
      </c>
      <c r="O16" s="10">
        <f t="shared" si="1"/>
        <v>61.8</v>
      </c>
      <c r="P16" s="10">
        <f t="shared" si="2"/>
        <v>61.7</v>
      </c>
      <c r="Q16" s="10">
        <f t="shared" si="3"/>
        <v>62.3</v>
      </c>
      <c r="R16" s="10">
        <f t="shared" si="3"/>
        <v>62.5</v>
      </c>
      <c r="U16" s="4"/>
      <c r="V16" s="5"/>
      <c r="W16" s="5"/>
      <c r="Z16" s="4"/>
      <c r="AA16" s="5"/>
      <c r="AB16" s="5"/>
    </row>
    <row r="17" spans="2:28" ht="15.75" x14ac:dyDescent="0.25">
      <c r="B17" t="s">
        <v>47</v>
      </c>
      <c r="C17">
        <v>60.4</v>
      </c>
      <c r="D17">
        <v>60.4</v>
      </c>
      <c r="E17">
        <v>60.1</v>
      </c>
      <c r="F17">
        <v>60.8</v>
      </c>
      <c r="G17">
        <v>60.9</v>
      </c>
      <c r="M17" s="17" t="s">
        <v>47</v>
      </c>
      <c r="N17" s="11">
        <f t="shared" si="0"/>
        <v>62.9</v>
      </c>
      <c r="O17" s="10">
        <f t="shared" si="1"/>
        <v>62.9</v>
      </c>
      <c r="P17" s="10">
        <f t="shared" si="2"/>
        <v>62.6</v>
      </c>
      <c r="Q17" s="10">
        <f t="shared" si="3"/>
        <v>63.3</v>
      </c>
      <c r="R17" s="10">
        <f t="shared" si="3"/>
        <v>63.4</v>
      </c>
      <c r="U17" s="4"/>
      <c r="V17" s="5"/>
      <c r="W17" s="5"/>
      <c r="Z17" s="4"/>
      <c r="AA17" s="5"/>
      <c r="AB17" s="5"/>
    </row>
    <row r="18" spans="2:28" ht="15.75" x14ac:dyDescent="0.25">
      <c r="B18" t="s">
        <v>48</v>
      </c>
      <c r="C18">
        <v>62.1</v>
      </c>
      <c r="D18">
        <v>62.1</v>
      </c>
      <c r="E18">
        <v>61.7</v>
      </c>
      <c r="F18">
        <v>62.4</v>
      </c>
      <c r="G18">
        <v>62.4</v>
      </c>
      <c r="M18" s="17" t="s">
        <v>48</v>
      </c>
      <c r="N18" s="11">
        <f t="shared" si="0"/>
        <v>64.599999999999994</v>
      </c>
      <c r="O18" s="10">
        <f t="shared" si="1"/>
        <v>64.599999999999994</v>
      </c>
      <c r="P18" s="10">
        <f t="shared" si="2"/>
        <v>64.2</v>
      </c>
      <c r="Q18" s="10">
        <f t="shared" si="3"/>
        <v>64.900000000000006</v>
      </c>
      <c r="R18" s="10">
        <f t="shared" si="3"/>
        <v>64.900000000000006</v>
      </c>
      <c r="U18" s="4"/>
      <c r="V18" s="5"/>
      <c r="W18" s="5"/>
      <c r="Z18" s="4"/>
      <c r="AA18" s="5"/>
      <c r="AB18" s="5"/>
    </row>
    <row r="19" spans="2:28" ht="15.75" x14ac:dyDescent="0.25">
      <c r="B19" t="s">
        <v>49</v>
      </c>
      <c r="C19">
        <v>56.6</v>
      </c>
      <c r="D19">
        <v>56.7</v>
      </c>
      <c r="E19">
        <v>52.8</v>
      </c>
      <c r="F19">
        <v>57.6</v>
      </c>
      <c r="G19">
        <v>53.6</v>
      </c>
      <c r="M19" s="17" t="s">
        <v>49</v>
      </c>
      <c r="N19" s="11">
        <f t="shared" si="0"/>
        <v>59.1</v>
      </c>
      <c r="O19" s="10">
        <f t="shared" si="1"/>
        <v>59.2</v>
      </c>
      <c r="P19" s="10">
        <f t="shared" si="2"/>
        <v>55.3</v>
      </c>
      <c r="Q19" s="10">
        <f t="shared" si="3"/>
        <v>60.1</v>
      </c>
      <c r="R19" s="10">
        <f t="shared" si="3"/>
        <v>56.1</v>
      </c>
      <c r="U19" s="4"/>
      <c r="V19" s="5"/>
      <c r="W19" s="5"/>
      <c r="Z19" s="4"/>
      <c r="AA19" s="5"/>
      <c r="AB19" s="5"/>
    </row>
    <row r="20" spans="2:28" ht="15.75" x14ac:dyDescent="0.25">
      <c r="B20" t="s">
        <v>50</v>
      </c>
      <c r="C20">
        <v>56.1</v>
      </c>
      <c r="D20">
        <v>56.2</v>
      </c>
      <c r="E20">
        <v>52.4</v>
      </c>
      <c r="F20">
        <v>57</v>
      </c>
      <c r="G20">
        <v>53.2</v>
      </c>
      <c r="M20" s="17" t="s">
        <v>50</v>
      </c>
      <c r="N20" s="11">
        <f t="shared" si="0"/>
        <v>58.6</v>
      </c>
      <c r="O20" s="10">
        <f t="shared" si="1"/>
        <v>58.7</v>
      </c>
      <c r="P20" s="10">
        <f t="shared" si="2"/>
        <v>54.9</v>
      </c>
      <c r="Q20" s="10">
        <f t="shared" ref="Q20:R35" si="4">F20+2.5</f>
        <v>59.5</v>
      </c>
      <c r="R20" s="10">
        <f t="shared" si="4"/>
        <v>55.7</v>
      </c>
      <c r="U20" s="4"/>
      <c r="V20" s="5"/>
      <c r="W20" s="5"/>
      <c r="Z20" s="4"/>
      <c r="AA20" s="5"/>
      <c r="AB20" s="5"/>
    </row>
    <row r="21" spans="2:28" ht="15.75" x14ac:dyDescent="0.25">
      <c r="B21" t="s">
        <v>51</v>
      </c>
      <c r="C21">
        <v>56.9</v>
      </c>
      <c r="D21">
        <v>56.9</v>
      </c>
      <c r="E21">
        <v>53.8</v>
      </c>
      <c r="F21">
        <v>57.7</v>
      </c>
      <c r="G21">
        <v>54.6</v>
      </c>
      <c r="M21" s="17" t="s">
        <v>51</v>
      </c>
      <c r="N21" s="11">
        <f t="shared" si="0"/>
        <v>59.4</v>
      </c>
      <c r="O21" s="10">
        <f t="shared" si="1"/>
        <v>59.4</v>
      </c>
      <c r="P21" s="10">
        <f t="shared" si="2"/>
        <v>56.3</v>
      </c>
      <c r="Q21" s="10">
        <f t="shared" si="4"/>
        <v>60.2</v>
      </c>
      <c r="R21" s="10">
        <f t="shared" si="4"/>
        <v>57.1</v>
      </c>
      <c r="U21" s="4"/>
      <c r="V21" s="5"/>
      <c r="W21" s="5"/>
      <c r="Z21" s="4"/>
      <c r="AA21" s="5"/>
      <c r="AB21" s="5"/>
    </row>
    <row r="22" spans="2:28" ht="15.75" x14ac:dyDescent="0.25">
      <c r="B22" t="s">
        <v>52</v>
      </c>
      <c r="C22">
        <v>57.4</v>
      </c>
      <c r="D22">
        <v>57.4</v>
      </c>
      <c r="E22">
        <v>54.3</v>
      </c>
      <c r="F22">
        <v>58.2</v>
      </c>
      <c r="G22">
        <v>55.1</v>
      </c>
      <c r="M22" s="17" t="s">
        <v>52</v>
      </c>
      <c r="N22" s="11">
        <f t="shared" si="0"/>
        <v>59.9</v>
      </c>
      <c r="O22" s="10">
        <f t="shared" si="1"/>
        <v>59.9</v>
      </c>
      <c r="P22" s="10">
        <f t="shared" si="2"/>
        <v>56.8</v>
      </c>
      <c r="Q22" s="10">
        <f t="shared" si="4"/>
        <v>60.7</v>
      </c>
      <c r="R22" s="10">
        <f t="shared" si="4"/>
        <v>57.6</v>
      </c>
      <c r="U22" s="4"/>
      <c r="V22" s="5"/>
      <c r="W22" s="5"/>
      <c r="Z22" s="4"/>
      <c r="AA22" s="5"/>
      <c r="AB22" s="5"/>
    </row>
    <row r="23" spans="2:28" ht="15.75" x14ac:dyDescent="0.25">
      <c r="B23" t="s">
        <v>53</v>
      </c>
      <c r="C23">
        <v>57.8</v>
      </c>
      <c r="D23">
        <v>57.9</v>
      </c>
      <c r="E23">
        <v>54.1</v>
      </c>
      <c r="F23">
        <v>58.7</v>
      </c>
      <c r="G23">
        <v>54.8</v>
      </c>
      <c r="M23" s="17" t="s">
        <v>53</v>
      </c>
      <c r="N23" s="11">
        <f t="shared" si="0"/>
        <v>60.3</v>
      </c>
      <c r="O23" s="10">
        <f t="shared" si="1"/>
        <v>60.4</v>
      </c>
      <c r="P23" s="10">
        <f t="shared" si="2"/>
        <v>56.6</v>
      </c>
      <c r="Q23" s="10">
        <f t="shared" si="4"/>
        <v>61.2</v>
      </c>
      <c r="R23" s="10">
        <f t="shared" si="4"/>
        <v>57.3</v>
      </c>
      <c r="U23" s="4"/>
      <c r="V23" s="5"/>
      <c r="W23" s="5"/>
      <c r="Z23" s="4"/>
      <c r="AA23" s="5"/>
      <c r="AB23" s="5"/>
    </row>
    <row r="24" spans="2:28" ht="15.75" x14ac:dyDescent="0.25">
      <c r="B24" t="s">
        <v>54</v>
      </c>
      <c r="C24">
        <v>56.5</v>
      </c>
      <c r="D24">
        <v>56.6</v>
      </c>
      <c r="E24">
        <v>53.1</v>
      </c>
      <c r="F24">
        <v>57.3</v>
      </c>
      <c r="G24">
        <v>53.8</v>
      </c>
      <c r="M24" s="17" t="s">
        <v>54</v>
      </c>
      <c r="N24" s="11">
        <f t="shared" si="0"/>
        <v>59</v>
      </c>
      <c r="O24" s="10">
        <f t="shared" si="1"/>
        <v>59.1</v>
      </c>
      <c r="P24" s="10">
        <f t="shared" si="2"/>
        <v>55.6</v>
      </c>
      <c r="Q24" s="10">
        <f t="shared" si="4"/>
        <v>59.8</v>
      </c>
      <c r="R24" s="10">
        <f t="shared" si="4"/>
        <v>56.3</v>
      </c>
      <c r="U24" s="4"/>
      <c r="V24" s="5"/>
      <c r="W24" s="5"/>
      <c r="Z24" s="4"/>
      <c r="AA24" s="5"/>
      <c r="AB24" s="5"/>
    </row>
    <row r="25" spans="2:28" ht="15.75" x14ac:dyDescent="0.25">
      <c r="B25" t="s">
        <v>55</v>
      </c>
      <c r="C25">
        <v>56.6</v>
      </c>
      <c r="D25">
        <v>56.7</v>
      </c>
      <c r="E25">
        <v>53.1</v>
      </c>
      <c r="F25">
        <v>57.5</v>
      </c>
      <c r="G25">
        <v>53.8</v>
      </c>
      <c r="M25" s="17" t="s">
        <v>55</v>
      </c>
      <c r="N25" s="11">
        <f t="shared" ref="N25:N88" si="5">C25+2.5</f>
        <v>59.1</v>
      </c>
      <c r="O25" s="10">
        <f t="shared" ref="O25:O88" si="6">D25+2.5</f>
        <v>59.2</v>
      </c>
      <c r="P25" s="10">
        <f t="shared" ref="P25:P88" si="7">E25+2.5</f>
        <v>55.6</v>
      </c>
      <c r="Q25" s="10">
        <f t="shared" si="4"/>
        <v>60</v>
      </c>
      <c r="R25" s="10">
        <f t="shared" si="4"/>
        <v>56.3</v>
      </c>
    </row>
    <row r="26" spans="2:28" ht="15.75" x14ac:dyDescent="0.25">
      <c r="B26" t="s">
        <v>56</v>
      </c>
      <c r="C26">
        <v>56.1</v>
      </c>
      <c r="D26">
        <v>56.1</v>
      </c>
      <c r="E26">
        <v>52.8</v>
      </c>
      <c r="F26">
        <v>56.9</v>
      </c>
      <c r="G26">
        <v>53.6</v>
      </c>
      <c r="M26" s="17" t="s">
        <v>56</v>
      </c>
      <c r="N26" s="11">
        <f t="shared" si="5"/>
        <v>58.6</v>
      </c>
      <c r="O26" s="10">
        <f t="shared" si="6"/>
        <v>58.6</v>
      </c>
      <c r="P26" s="10">
        <f t="shared" si="7"/>
        <v>55.3</v>
      </c>
      <c r="Q26" s="10">
        <f t="shared" si="4"/>
        <v>59.4</v>
      </c>
      <c r="R26" s="10">
        <f t="shared" si="4"/>
        <v>56.1</v>
      </c>
    </row>
    <row r="27" spans="2:28" ht="15.75" x14ac:dyDescent="0.25">
      <c r="B27" t="s">
        <v>57</v>
      </c>
      <c r="C27">
        <v>60.9</v>
      </c>
      <c r="D27">
        <v>60.9</v>
      </c>
      <c r="E27">
        <v>55.5</v>
      </c>
      <c r="F27">
        <v>61.9</v>
      </c>
      <c r="G27">
        <v>56.3</v>
      </c>
      <c r="M27" s="17" t="s">
        <v>57</v>
      </c>
      <c r="N27" s="11">
        <f t="shared" si="5"/>
        <v>63.4</v>
      </c>
      <c r="O27" s="10">
        <f t="shared" si="6"/>
        <v>63.4</v>
      </c>
      <c r="P27" s="10">
        <f t="shared" si="7"/>
        <v>58</v>
      </c>
      <c r="Q27" s="10">
        <f t="shared" si="4"/>
        <v>64.400000000000006</v>
      </c>
      <c r="R27" s="10">
        <f t="shared" si="4"/>
        <v>58.8</v>
      </c>
    </row>
    <row r="28" spans="2:28" ht="15.75" x14ac:dyDescent="0.25">
      <c r="B28" t="s">
        <v>58</v>
      </c>
      <c r="C28">
        <v>61.8</v>
      </c>
      <c r="D28">
        <v>61.9</v>
      </c>
      <c r="E28">
        <v>61.8</v>
      </c>
      <c r="F28">
        <v>62.3</v>
      </c>
      <c r="G28">
        <v>62.5</v>
      </c>
      <c r="M28" s="17" t="s">
        <v>58</v>
      </c>
      <c r="N28" s="11">
        <f t="shared" si="5"/>
        <v>64.3</v>
      </c>
      <c r="O28" s="10">
        <f t="shared" si="6"/>
        <v>64.400000000000006</v>
      </c>
      <c r="P28" s="10">
        <f t="shared" si="7"/>
        <v>64.3</v>
      </c>
      <c r="Q28" s="10">
        <f t="shared" si="4"/>
        <v>64.8</v>
      </c>
      <c r="R28" s="10">
        <f t="shared" si="4"/>
        <v>65</v>
      </c>
    </row>
    <row r="29" spans="2:28" ht="15.75" x14ac:dyDescent="0.25">
      <c r="B29" t="s">
        <v>59</v>
      </c>
      <c r="C29">
        <v>58.9</v>
      </c>
      <c r="D29">
        <v>59</v>
      </c>
      <c r="E29">
        <v>59</v>
      </c>
      <c r="F29">
        <v>59.5</v>
      </c>
      <c r="G29">
        <v>59.7</v>
      </c>
      <c r="M29" s="17" t="s">
        <v>59</v>
      </c>
      <c r="N29" s="11">
        <f t="shared" si="5"/>
        <v>61.4</v>
      </c>
      <c r="O29" s="10">
        <f t="shared" si="6"/>
        <v>61.5</v>
      </c>
      <c r="P29" s="10">
        <f t="shared" si="7"/>
        <v>61.5</v>
      </c>
      <c r="Q29" s="10">
        <f t="shared" si="4"/>
        <v>62</v>
      </c>
      <c r="R29" s="10">
        <f t="shared" si="4"/>
        <v>62.2</v>
      </c>
    </row>
    <row r="30" spans="2:28" ht="15.75" x14ac:dyDescent="0.25">
      <c r="B30" t="s">
        <v>60</v>
      </c>
      <c r="C30">
        <v>63.4</v>
      </c>
      <c r="D30">
        <v>63.5</v>
      </c>
      <c r="E30">
        <v>63.1</v>
      </c>
      <c r="F30">
        <v>63.9</v>
      </c>
      <c r="G30">
        <v>63.8</v>
      </c>
      <c r="M30" s="17" t="s">
        <v>60</v>
      </c>
      <c r="N30" s="11">
        <f t="shared" si="5"/>
        <v>65.900000000000006</v>
      </c>
      <c r="O30" s="10">
        <f t="shared" si="6"/>
        <v>66</v>
      </c>
      <c r="P30" s="10">
        <f t="shared" si="7"/>
        <v>65.599999999999994</v>
      </c>
      <c r="Q30" s="10">
        <f t="shared" si="4"/>
        <v>66.400000000000006</v>
      </c>
      <c r="R30" s="10">
        <f t="shared" si="4"/>
        <v>66.3</v>
      </c>
    </row>
    <row r="31" spans="2:28" ht="15.75" x14ac:dyDescent="0.25">
      <c r="B31" t="s">
        <v>61</v>
      </c>
      <c r="C31">
        <v>63.5</v>
      </c>
      <c r="D31">
        <v>63.5</v>
      </c>
      <c r="E31">
        <v>63.1</v>
      </c>
      <c r="F31">
        <v>63.9</v>
      </c>
      <c r="G31">
        <v>63.8</v>
      </c>
      <c r="M31" s="17" t="s">
        <v>61</v>
      </c>
      <c r="N31" s="11">
        <f t="shared" si="5"/>
        <v>66</v>
      </c>
      <c r="O31" s="10">
        <f t="shared" si="6"/>
        <v>66</v>
      </c>
      <c r="P31" s="10">
        <f t="shared" si="7"/>
        <v>65.599999999999994</v>
      </c>
      <c r="Q31" s="10">
        <f t="shared" si="4"/>
        <v>66.400000000000006</v>
      </c>
      <c r="R31" s="10">
        <f t="shared" si="4"/>
        <v>66.3</v>
      </c>
    </row>
    <row r="32" spans="2:28" ht="15.75" x14ac:dyDescent="0.25">
      <c r="B32" t="s">
        <v>62</v>
      </c>
      <c r="C32">
        <v>63.4</v>
      </c>
      <c r="D32">
        <v>63.4</v>
      </c>
      <c r="E32">
        <v>62.9</v>
      </c>
      <c r="F32">
        <v>64</v>
      </c>
      <c r="G32">
        <v>63.6</v>
      </c>
      <c r="M32" s="17" t="s">
        <v>62</v>
      </c>
      <c r="N32" s="11">
        <f t="shared" si="5"/>
        <v>65.900000000000006</v>
      </c>
      <c r="O32" s="10">
        <f t="shared" si="6"/>
        <v>65.900000000000006</v>
      </c>
      <c r="P32" s="10">
        <f t="shared" si="7"/>
        <v>65.400000000000006</v>
      </c>
      <c r="Q32" s="10">
        <f t="shared" si="4"/>
        <v>66.5</v>
      </c>
      <c r="R32" s="10">
        <f t="shared" si="4"/>
        <v>66.099999999999994</v>
      </c>
    </row>
    <row r="33" spans="2:18" ht="15.75" x14ac:dyDescent="0.25">
      <c r="B33" t="s">
        <v>63</v>
      </c>
      <c r="C33">
        <v>62.7</v>
      </c>
      <c r="D33">
        <v>62.8</v>
      </c>
      <c r="E33">
        <v>61.9</v>
      </c>
      <c r="F33">
        <v>63.4</v>
      </c>
      <c r="G33">
        <v>62.7</v>
      </c>
      <c r="M33" s="17" t="s">
        <v>63</v>
      </c>
      <c r="N33" s="11">
        <f t="shared" si="5"/>
        <v>65.2</v>
      </c>
      <c r="O33" s="10">
        <f t="shared" si="6"/>
        <v>65.3</v>
      </c>
      <c r="P33" s="10">
        <f t="shared" si="7"/>
        <v>64.400000000000006</v>
      </c>
      <c r="Q33" s="10">
        <f t="shared" si="4"/>
        <v>65.900000000000006</v>
      </c>
      <c r="R33" s="10">
        <f t="shared" si="4"/>
        <v>65.2</v>
      </c>
    </row>
    <row r="34" spans="2:18" ht="15.75" x14ac:dyDescent="0.25">
      <c r="B34" t="s">
        <v>64</v>
      </c>
      <c r="C34">
        <v>62.6</v>
      </c>
      <c r="D34">
        <v>62.7</v>
      </c>
      <c r="E34">
        <v>61.7</v>
      </c>
      <c r="F34">
        <v>63.3</v>
      </c>
      <c r="G34">
        <v>62.5</v>
      </c>
      <c r="M34" s="17" t="s">
        <v>64</v>
      </c>
      <c r="N34" s="11">
        <f t="shared" si="5"/>
        <v>65.099999999999994</v>
      </c>
      <c r="O34" s="10">
        <f t="shared" si="6"/>
        <v>65.2</v>
      </c>
      <c r="P34" s="10">
        <f t="shared" si="7"/>
        <v>64.2</v>
      </c>
      <c r="Q34" s="10">
        <f t="shared" si="4"/>
        <v>65.8</v>
      </c>
      <c r="R34" s="10">
        <f t="shared" si="4"/>
        <v>65</v>
      </c>
    </row>
    <row r="35" spans="2:18" ht="15.75" x14ac:dyDescent="0.25">
      <c r="B35" t="s">
        <v>65</v>
      </c>
      <c r="C35">
        <v>62.4</v>
      </c>
      <c r="D35">
        <v>62.5</v>
      </c>
      <c r="E35">
        <v>61.5</v>
      </c>
      <c r="F35">
        <v>63.2</v>
      </c>
      <c r="G35">
        <v>62.3</v>
      </c>
      <c r="M35" s="17" t="s">
        <v>65</v>
      </c>
      <c r="N35" s="11">
        <f t="shared" si="5"/>
        <v>64.900000000000006</v>
      </c>
      <c r="O35" s="10">
        <f t="shared" si="6"/>
        <v>65</v>
      </c>
      <c r="P35" s="10">
        <f t="shared" si="7"/>
        <v>64</v>
      </c>
      <c r="Q35" s="10">
        <f t="shared" si="4"/>
        <v>65.7</v>
      </c>
      <c r="R35" s="10">
        <f t="shared" si="4"/>
        <v>64.8</v>
      </c>
    </row>
    <row r="36" spans="2:18" ht="15.75" x14ac:dyDescent="0.25">
      <c r="B36" t="s">
        <v>66</v>
      </c>
      <c r="C36">
        <v>62.5</v>
      </c>
      <c r="D36">
        <v>62.6</v>
      </c>
      <c r="E36">
        <v>61.6</v>
      </c>
      <c r="F36">
        <v>63.3</v>
      </c>
      <c r="G36">
        <v>62.3</v>
      </c>
      <c r="M36" s="17" t="s">
        <v>66</v>
      </c>
      <c r="N36" s="11">
        <f t="shared" si="5"/>
        <v>65</v>
      </c>
      <c r="O36" s="10">
        <f t="shared" si="6"/>
        <v>65.099999999999994</v>
      </c>
      <c r="P36" s="10">
        <f t="shared" si="7"/>
        <v>64.099999999999994</v>
      </c>
      <c r="Q36" s="10">
        <f t="shared" ref="Q36:Q99" si="8">F36+2.5</f>
        <v>65.8</v>
      </c>
      <c r="R36" s="10">
        <f t="shared" ref="R36:R99" si="9">G36+2.5</f>
        <v>64.8</v>
      </c>
    </row>
    <row r="37" spans="2:18" ht="15.75" x14ac:dyDescent="0.25">
      <c r="B37" t="s">
        <v>67</v>
      </c>
      <c r="C37">
        <v>62.4</v>
      </c>
      <c r="D37">
        <v>62.4</v>
      </c>
      <c r="E37">
        <v>61.4</v>
      </c>
      <c r="F37">
        <v>63.2</v>
      </c>
      <c r="G37">
        <v>62.1</v>
      </c>
      <c r="M37" s="17" t="s">
        <v>67</v>
      </c>
      <c r="N37" s="11">
        <f t="shared" si="5"/>
        <v>64.900000000000006</v>
      </c>
      <c r="O37" s="10">
        <f t="shared" si="6"/>
        <v>64.900000000000006</v>
      </c>
      <c r="P37" s="10">
        <f t="shared" si="7"/>
        <v>63.9</v>
      </c>
      <c r="Q37" s="10">
        <f t="shared" si="8"/>
        <v>65.7</v>
      </c>
      <c r="R37" s="10">
        <f t="shared" si="9"/>
        <v>64.599999999999994</v>
      </c>
    </row>
    <row r="38" spans="2:18" ht="15.75" x14ac:dyDescent="0.25">
      <c r="B38" t="s">
        <v>68</v>
      </c>
      <c r="C38">
        <v>62.3</v>
      </c>
      <c r="D38">
        <v>62.4</v>
      </c>
      <c r="E38">
        <v>61.3</v>
      </c>
      <c r="F38">
        <v>63.1</v>
      </c>
      <c r="G38">
        <v>62.1</v>
      </c>
      <c r="M38" s="17" t="s">
        <v>68</v>
      </c>
      <c r="N38" s="11">
        <f t="shared" si="5"/>
        <v>64.8</v>
      </c>
      <c r="O38" s="10">
        <f t="shared" si="6"/>
        <v>64.900000000000006</v>
      </c>
      <c r="P38" s="10">
        <f t="shared" si="7"/>
        <v>63.8</v>
      </c>
      <c r="Q38" s="10">
        <f t="shared" si="8"/>
        <v>65.599999999999994</v>
      </c>
      <c r="R38" s="10">
        <f t="shared" si="9"/>
        <v>64.599999999999994</v>
      </c>
    </row>
    <row r="39" spans="2:18" ht="15.75" x14ac:dyDescent="0.25">
      <c r="B39" t="s">
        <v>69</v>
      </c>
      <c r="C39">
        <v>62.3</v>
      </c>
      <c r="D39">
        <v>62.4</v>
      </c>
      <c r="E39">
        <v>61.2</v>
      </c>
      <c r="F39">
        <v>63.2</v>
      </c>
      <c r="G39">
        <v>61.9</v>
      </c>
      <c r="M39" s="17" t="s">
        <v>69</v>
      </c>
      <c r="N39" s="11">
        <f t="shared" si="5"/>
        <v>64.8</v>
      </c>
      <c r="O39" s="10">
        <f t="shared" si="6"/>
        <v>64.900000000000006</v>
      </c>
      <c r="P39" s="10">
        <f t="shared" si="7"/>
        <v>63.7</v>
      </c>
      <c r="Q39" s="10">
        <f t="shared" si="8"/>
        <v>65.7</v>
      </c>
      <c r="R39" s="10">
        <f t="shared" si="9"/>
        <v>64.400000000000006</v>
      </c>
    </row>
    <row r="40" spans="2:18" ht="15.75" x14ac:dyDescent="0.25">
      <c r="B40" t="s">
        <v>70</v>
      </c>
      <c r="C40">
        <v>60.7</v>
      </c>
      <c r="D40">
        <v>60.8</v>
      </c>
      <c r="E40">
        <v>60.1</v>
      </c>
      <c r="F40">
        <v>61.4</v>
      </c>
      <c r="G40">
        <v>60.8</v>
      </c>
      <c r="M40" s="17" t="s">
        <v>70</v>
      </c>
      <c r="N40" s="11">
        <f t="shared" si="5"/>
        <v>63.2</v>
      </c>
      <c r="O40" s="10">
        <f t="shared" si="6"/>
        <v>63.3</v>
      </c>
      <c r="P40" s="10">
        <f t="shared" si="7"/>
        <v>62.6</v>
      </c>
      <c r="Q40" s="10">
        <f t="shared" si="8"/>
        <v>63.9</v>
      </c>
      <c r="R40" s="10">
        <f t="shared" si="9"/>
        <v>63.3</v>
      </c>
    </row>
    <row r="41" spans="2:18" ht="15.75" x14ac:dyDescent="0.25">
      <c r="B41" t="s">
        <v>71</v>
      </c>
      <c r="C41">
        <v>61.7</v>
      </c>
      <c r="D41">
        <v>61.7</v>
      </c>
      <c r="E41">
        <v>60.8</v>
      </c>
      <c r="F41">
        <v>62.4</v>
      </c>
      <c r="G41">
        <v>61.5</v>
      </c>
      <c r="M41" s="17" t="s">
        <v>71</v>
      </c>
      <c r="N41" s="11">
        <f t="shared" si="5"/>
        <v>64.2</v>
      </c>
      <c r="O41" s="10">
        <f t="shared" si="6"/>
        <v>64.2</v>
      </c>
      <c r="P41" s="10">
        <f t="shared" si="7"/>
        <v>63.3</v>
      </c>
      <c r="Q41" s="10">
        <f t="shared" si="8"/>
        <v>64.900000000000006</v>
      </c>
      <c r="R41" s="10">
        <f t="shared" si="9"/>
        <v>64</v>
      </c>
    </row>
    <row r="42" spans="2:18" ht="15.75" x14ac:dyDescent="0.25">
      <c r="B42" t="s">
        <v>72</v>
      </c>
      <c r="C42">
        <v>62.2</v>
      </c>
      <c r="D42">
        <v>62.3</v>
      </c>
      <c r="E42">
        <v>61.3</v>
      </c>
      <c r="F42">
        <v>63</v>
      </c>
      <c r="G42">
        <v>62</v>
      </c>
      <c r="M42" s="17" t="s">
        <v>72</v>
      </c>
      <c r="N42" s="11">
        <f t="shared" si="5"/>
        <v>64.7</v>
      </c>
      <c r="O42" s="10">
        <f t="shared" si="6"/>
        <v>64.8</v>
      </c>
      <c r="P42" s="10">
        <f t="shared" si="7"/>
        <v>63.8</v>
      </c>
      <c r="Q42" s="10">
        <f t="shared" si="8"/>
        <v>65.5</v>
      </c>
      <c r="R42" s="10">
        <f t="shared" si="9"/>
        <v>64.5</v>
      </c>
    </row>
    <row r="43" spans="2:18" ht="15.75" x14ac:dyDescent="0.25">
      <c r="B43" t="s">
        <v>73</v>
      </c>
      <c r="C43">
        <v>62.7</v>
      </c>
      <c r="D43">
        <v>62.7</v>
      </c>
      <c r="E43">
        <v>61.1</v>
      </c>
      <c r="F43">
        <v>63.6</v>
      </c>
      <c r="G43">
        <v>61.8</v>
      </c>
      <c r="M43" s="17" t="s">
        <v>73</v>
      </c>
      <c r="N43" s="11">
        <f t="shared" si="5"/>
        <v>65.2</v>
      </c>
      <c r="O43" s="10">
        <f t="shared" si="6"/>
        <v>65.2</v>
      </c>
      <c r="P43" s="10">
        <f t="shared" si="7"/>
        <v>63.6</v>
      </c>
      <c r="Q43" s="10">
        <f t="shared" si="8"/>
        <v>66.099999999999994</v>
      </c>
      <c r="R43" s="10">
        <f t="shared" si="9"/>
        <v>64.3</v>
      </c>
    </row>
    <row r="44" spans="2:18" ht="15.75" x14ac:dyDescent="0.25">
      <c r="B44" t="s">
        <v>74</v>
      </c>
      <c r="C44">
        <v>61.6</v>
      </c>
      <c r="D44">
        <v>61.7</v>
      </c>
      <c r="E44">
        <v>60</v>
      </c>
      <c r="F44">
        <v>62.5</v>
      </c>
      <c r="G44">
        <v>60.7</v>
      </c>
      <c r="M44" s="17" t="s">
        <v>74</v>
      </c>
      <c r="N44" s="11">
        <f t="shared" si="5"/>
        <v>64.099999999999994</v>
      </c>
      <c r="O44" s="10">
        <f t="shared" si="6"/>
        <v>64.2</v>
      </c>
      <c r="P44" s="10">
        <f t="shared" si="7"/>
        <v>62.5</v>
      </c>
      <c r="Q44" s="10">
        <f t="shared" si="8"/>
        <v>65</v>
      </c>
      <c r="R44" s="10">
        <f t="shared" si="9"/>
        <v>63.2</v>
      </c>
    </row>
    <row r="45" spans="2:18" ht="15.75" x14ac:dyDescent="0.25">
      <c r="B45" t="s">
        <v>75</v>
      </c>
      <c r="C45">
        <v>62.3</v>
      </c>
      <c r="D45">
        <v>62.3</v>
      </c>
      <c r="E45">
        <v>60.7</v>
      </c>
      <c r="F45">
        <v>63.1</v>
      </c>
      <c r="G45">
        <v>61.4</v>
      </c>
      <c r="M45" s="17" t="s">
        <v>75</v>
      </c>
      <c r="N45" s="11">
        <f t="shared" si="5"/>
        <v>64.8</v>
      </c>
      <c r="O45" s="10">
        <f t="shared" si="6"/>
        <v>64.8</v>
      </c>
      <c r="P45" s="10">
        <f t="shared" si="7"/>
        <v>63.2</v>
      </c>
      <c r="Q45" s="10">
        <f t="shared" si="8"/>
        <v>65.599999999999994</v>
      </c>
      <c r="R45" s="10">
        <f t="shared" si="9"/>
        <v>63.9</v>
      </c>
    </row>
    <row r="46" spans="2:18" ht="15.75" x14ac:dyDescent="0.25">
      <c r="B46" t="s">
        <v>76</v>
      </c>
      <c r="C46">
        <v>62</v>
      </c>
      <c r="D46">
        <v>62</v>
      </c>
      <c r="E46">
        <v>60.3</v>
      </c>
      <c r="F46">
        <v>62.8</v>
      </c>
      <c r="G46">
        <v>61.1</v>
      </c>
      <c r="M46" s="17" t="s">
        <v>76</v>
      </c>
      <c r="N46" s="11">
        <f t="shared" si="5"/>
        <v>64.5</v>
      </c>
      <c r="O46" s="10">
        <f t="shared" si="6"/>
        <v>64.5</v>
      </c>
      <c r="P46" s="10">
        <f t="shared" si="7"/>
        <v>62.8</v>
      </c>
      <c r="Q46" s="10">
        <f t="shared" si="8"/>
        <v>65.3</v>
      </c>
      <c r="R46" s="10">
        <f t="shared" si="9"/>
        <v>63.6</v>
      </c>
    </row>
    <row r="47" spans="2:18" ht="15.75" x14ac:dyDescent="0.25">
      <c r="B47" t="s">
        <v>150</v>
      </c>
      <c r="C47">
        <v>56</v>
      </c>
      <c r="D47">
        <v>56.1</v>
      </c>
      <c r="E47">
        <v>55.7</v>
      </c>
      <c r="F47">
        <v>56.7</v>
      </c>
      <c r="G47">
        <v>56.5</v>
      </c>
      <c r="M47" s="17" t="s">
        <v>150</v>
      </c>
      <c r="N47" s="11">
        <f t="shared" si="5"/>
        <v>58.5</v>
      </c>
      <c r="O47" s="10">
        <f t="shared" si="6"/>
        <v>58.6</v>
      </c>
      <c r="P47" s="10">
        <f t="shared" si="7"/>
        <v>58.2</v>
      </c>
      <c r="Q47" s="10">
        <f t="shared" si="8"/>
        <v>59.2</v>
      </c>
      <c r="R47" s="10">
        <f t="shared" si="9"/>
        <v>59</v>
      </c>
    </row>
    <row r="48" spans="2:18" ht="15.75" x14ac:dyDescent="0.25">
      <c r="B48" t="s">
        <v>77</v>
      </c>
      <c r="C48">
        <v>50.4</v>
      </c>
      <c r="D48">
        <v>50.5</v>
      </c>
      <c r="E48">
        <v>50.4</v>
      </c>
      <c r="F48">
        <v>51.1</v>
      </c>
      <c r="G48">
        <v>51.2</v>
      </c>
      <c r="M48" s="17" t="s">
        <v>77</v>
      </c>
      <c r="N48" s="11">
        <f t="shared" si="5"/>
        <v>52.9</v>
      </c>
      <c r="O48" s="10">
        <f t="shared" si="6"/>
        <v>53</v>
      </c>
      <c r="P48" s="10">
        <f t="shared" si="7"/>
        <v>52.9</v>
      </c>
      <c r="Q48" s="10">
        <f t="shared" si="8"/>
        <v>53.6</v>
      </c>
      <c r="R48" s="10">
        <f t="shared" si="9"/>
        <v>53.7</v>
      </c>
    </row>
    <row r="49" spans="2:18" ht="15.75" x14ac:dyDescent="0.25">
      <c r="B49" t="s">
        <v>151</v>
      </c>
      <c r="C49">
        <v>58.4</v>
      </c>
      <c r="D49">
        <v>58.4</v>
      </c>
      <c r="E49">
        <v>58</v>
      </c>
      <c r="F49">
        <v>58.9</v>
      </c>
      <c r="G49">
        <v>58.7</v>
      </c>
      <c r="M49" s="17" t="s">
        <v>151</v>
      </c>
      <c r="N49" s="11">
        <f t="shared" si="5"/>
        <v>60.9</v>
      </c>
      <c r="O49" s="10">
        <f t="shared" si="6"/>
        <v>60.9</v>
      </c>
      <c r="P49" s="10">
        <f t="shared" si="7"/>
        <v>60.5</v>
      </c>
      <c r="Q49" s="10">
        <f t="shared" si="8"/>
        <v>61.4</v>
      </c>
      <c r="R49" s="10">
        <f t="shared" si="9"/>
        <v>61.2</v>
      </c>
    </row>
    <row r="50" spans="2:18" ht="15.75" x14ac:dyDescent="0.25">
      <c r="B50" t="s">
        <v>79</v>
      </c>
      <c r="C50">
        <v>59.5</v>
      </c>
      <c r="D50">
        <v>59.5</v>
      </c>
      <c r="E50">
        <v>59.3</v>
      </c>
      <c r="F50">
        <v>60.1</v>
      </c>
      <c r="G50">
        <v>60.1</v>
      </c>
      <c r="M50" s="17" t="s">
        <v>79</v>
      </c>
      <c r="N50" s="11">
        <f t="shared" si="5"/>
        <v>62</v>
      </c>
      <c r="O50" s="10">
        <f t="shared" si="6"/>
        <v>62</v>
      </c>
      <c r="P50" s="10">
        <f t="shared" si="7"/>
        <v>61.8</v>
      </c>
      <c r="Q50" s="10">
        <f t="shared" si="8"/>
        <v>62.6</v>
      </c>
      <c r="R50" s="10">
        <f t="shared" si="9"/>
        <v>62.6</v>
      </c>
    </row>
    <row r="51" spans="2:18" ht="15.75" x14ac:dyDescent="0.25">
      <c r="B51" t="s">
        <v>80</v>
      </c>
      <c r="C51">
        <v>60.4</v>
      </c>
      <c r="D51">
        <v>60.5</v>
      </c>
      <c r="E51">
        <v>60.3</v>
      </c>
      <c r="F51">
        <v>61</v>
      </c>
      <c r="G51">
        <v>61.1</v>
      </c>
      <c r="M51" s="17" t="s">
        <v>80</v>
      </c>
      <c r="N51" s="11">
        <f t="shared" si="5"/>
        <v>62.9</v>
      </c>
      <c r="O51" s="10">
        <f t="shared" si="6"/>
        <v>63</v>
      </c>
      <c r="P51" s="10">
        <f t="shared" si="7"/>
        <v>62.8</v>
      </c>
      <c r="Q51" s="10">
        <f t="shared" si="8"/>
        <v>63.5</v>
      </c>
      <c r="R51" s="10">
        <f t="shared" si="9"/>
        <v>63.6</v>
      </c>
    </row>
    <row r="52" spans="2:18" ht="15.75" x14ac:dyDescent="0.25">
      <c r="B52" t="s">
        <v>81</v>
      </c>
      <c r="C52">
        <v>58.8</v>
      </c>
      <c r="D52">
        <v>58.9</v>
      </c>
      <c r="E52">
        <v>58.7</v>
      </c>
      <c r="F52">
        <v>59.4</v>
      </c>
      <c r="G52">
        <v>59.5</v>
      </c>
      <c r="M52" s="17" t="s">
        <v>81</v>
      </c>
      <c r="N52" s="11">
        <f t="shared" si="5"/>
        <v>61.3</v>
      </c>
      <c r="O52" s="10">
        <f t="shared" si="6"/>
        <v>61.4</v>
      </c>
      <c r="P52" s="10">
        <f t="shared" si="7"/>
        <v>61.2</v>
      </c>
      <c r="Q52" s="10">
        <f t="shared" si="8"/>
        <v>61.9</v>
      </c>
      <c r="R52" s="10">
        <f t="shared" si="9"/>
        <v>62</v>
      </c>
    </row>
    <row r="53" spans="2:18" ht="15.75" x14ac:dyDescent="0.25">
      <c r="B53" t="s">
        <v>152</v>
      </c>
      <c r="C53">
        <v>56.4</v>
      </c>
      <c r="D53">
        <v>56.5</v>
      </c>
      <c r="E53">
        <v>56.5</v>
      </c>
      <c r="F53">
        <v>57</v>
      </c>
      <c r="G53">
        <v>57.2</v>
      </c>
      <c r="M53" s="17" t="s">
        <v>152</v>
      </c>
      <c r="N53" s="11">
        <f t="shared" si="5"/>
        <v>58.9</v>
      </c>
      <c r="O53" s="10">
        <f t="shared" si="6"/>
        <v>59</v>
      </c>
      <c r="P53" s="10">
        <f t="shared" si="7"/>
        <v>59</v>
      </c>
      <c r="Q53" s="10">
        <f t="shared" si="8"/>
        <v>59.5</v>
      </c>
      <c r="R53" s="10">
        <f t="shared" si="9"/>
        <v>59.7</v>
      </c>
    </row>
    <row r="54" spans="2:18" ht="15.75" x14ac:dyDescent="0.25">
      <c r="B54" t="s">
        <v>153</v>
      </c>
      <c r="C54">
        <v>55.3</v>
      </c>
      <c r="D54">
        <v>55.4</v>
      </c>
      <c r="E54">
        <v>55.4</v>
      </c>
      <c r="F54">
        <v>56</v>
      </c>
      <c r="G54">
        <v>56.1</v>
      </c>
      <c r="M54" s="17" t="s">
        <v>153</v>
      </c>
      <c r="N54" s="11">
        <f t="shared" si="5"/>
        <v>57.8</v>
      </c>
      <c r="O54" s="10">
        <f t="shared" si="6"/>
        <v>57.9</v>
      </c>
      <c r="P54" s="10">
        <f t="shared" si="7"/>
        <v>57.9</v>
      </c>
      <c r="Q54" s="10">
        <f t="shared" si="8"/>
        <v>58.5</v>
      </c>
      <c r="R54" s="10">
        <f t="shared" si="9"/>
        <v>58.6</v>
      </c>
    </row>
    <row r="55" spans="2:18" ht="15.75" x14ac:dyDescent="0.25">
      <c r="B55" t="s">
        <v>82</v>
      </c>
      <c r="C55">
        <v>57.3</v>
      </c>
      <c r="D55">
        <v>57.4</v>
      </c>
      <c r="E55">
        <v>57.3</v>
      </c>
      <c r="F55">
        <v>58</v>
      </c>
      <c r="G55">
        <v>58.1</v>
      </c>
      <c r="M55" s="17" t="s">
        <v>82</v>
      </c>
      <c r="N55" s="11">
        <f t="shared" si="5"/>
        <v>59.8</v>
      </c>
      <c r="O55" s="10">
        <f t="shared" si="6"/>
        <v>59.9</v>
      </c>
      <c r="P55" s="10">
        <f t="shared" si="7"/>
        <v>59.8</v>
      </c>
      <c r="Q55" s="10">
        <f t="shared" si="8"/>
        <v>60.5</v>
      </c>
      <c r="R55" s="10">
        <f t="shared" si="9"/>
        <v>60.6</v>
      </c>
    </row>
    <row r="56" spans="2:18" ht="15.75" x14ac:dyDescent="0.25">
      <c r="B56" t="s">
        <v>83</v>
      </c>
      <c r="C56">
        <v>57.1</v>
      </c>
      <c r="D56">
        <v>57.2</v>
      </c>
      <c r="E56">
        <v>57.1</v>
      </c>
      <c r="F56">
        <v>57.8</v>
      </c>
      <c r="G56">
        <v>57.9</v>
      </c>
      <c r="M56" s="17" t="s">
        <v>83</v>
      </c>
      <c r="N56" s="11">
        <f t="shared" si="5"/>
        <v>59.6</v>
      </c>
      <c r="O56" s="10">
        <f t="shared" si="6"/>
        <v>59.7</v>
      </c>
      <c r="P56" s="10">
        <f t="shared" si="7"/>
        <v>59.6</v>
      </c>
      <c r="Q56" s="10">
        <f t="shared" si="8"/>
        <v>60.3</v>
      </c>
      <c r="R56" s="10">
        <f t="shared" si="9"/>
        <v>60.4</v>
      </c>
    </row>
    <row r="57" spans="2:18" ht="15.75" x14ac:dyDescent="0.25">
      <c r="B57" t="s">
        <v>84</v>
      </c>
      <c r="C57">
        <v>53.4</v>
      </c>
      <c r="D57">
        <v>53.5</v>
      </c>
      <c r="E57">
        <v>53.5</v>
      </c>
      <c r="F57">
        <v>54.1</v>
      </c>
      <c r="G57">
        <v>54.3</v>
      </c>
      <c r="M57" s="17" t="s">
        <v>84</v>
      </c>
      <c r="N57" s="11">
        <f t="shared" si="5"/>
        <v>55.9</v>
      </c>
      <c r="O57" s="10">
        <f t="shared" si="6"/>
        <v>56</v>
      </c>
      <c r="P57" s="10">
        <f t="shared" si="7"/>
        <v>56</v>
      </c>
      <c r="Q57" s="10">
        <f t="shared" si="8"/>
        <v>56.6</v>
      </c>
      <c r="R57" s="10">
        <f t="shared" si="9"/>
        <v>56.8</v>
      </c>
    </row>
    <row r="58" spans="2:18" ht="15.75" x14ac:dyDescent="0.25">
      <c r="B58" t="s">
        <v>85</v>
      </c>
      <c r="C58">
        <v>58.7</v>
      </c>
      <c r="D58">
        <v>58.7</v>
      </c>
      <c r="E58">
        <v>58.7</v>
      </c>
      <c r="F58">
        <v>59.3</v>
      </c>
      <c r="G58">
        <v>59.4</v>
      </c>
      <c r="M58" s="17" t="s">
        <v>85</v>
      </c>
      <c r="N58" s="11">
        <f t="shared" si="5"/>
        <v>61.2</v>
      </c>
      <c r="O58" s="10">
        <f t="shared" si="6"/>
        <v>61.2</v>
      </c>
      <c r="P58" s="10">
        <f t="shared" si="7"/>
        <v>61.2</v>
      </c>
      <c r="Q58" s="10">
        <f t="shared" si="8"/>
        <v>61.8</v>
      </c>
      <c r="R58" s="10">
        <f t="shared" si="9"/>
        <v>61.9</v>
      </c>
    </row>
    <row r="59" spans="2:18" ht="15.75" x14ac:dyDescent="0.25">
      <c r="B59" t="s">
        <v>86</v>
      </c>
      <c r="C59">
        <v>48.5</v>
      </c>
      <c r="D59">
        <v>48.5</v>
      </c>
      <c r="E59">
        <v>48.4</v>
      </c>
      <c r="F59">
        <v>49.2</v>
      </c>
      <c r="G59">
        <v>49.1</v>
      </c>
      <c r="M59" s="17" t="s">
        <v>86</v>
      </c>
      <c r="N59" s="11">
        <f t="shared" si="5"/>
        <v>51</v>
      </c>
      <c r="O59" s="10">
        <f t="shared" si="6"/>
        <v>51</v>
      </c>
      <c r="P59" s="10">
        <f t="shared" si="7"/>
        <v>50.9</v>
      </c>
      <c r="Q59" s="10">
        <f t="shared" si="8"/>
        <v>51.7</v>
      </c>
      <c r="R59" s="10">
        <f t="shared" si="9"/>
        <v>51.6</v>
      </c>
    </row>
    <row r="60" spans="2:18" ht="15.75" x14ac:dyDescent="0.25">
      <c r="B60" t="s">
        <v>87</v>
      </c>
      <c r="C60">
        <v>57.4</v>
      </c>
      <c r="D60">
        <v>57.4</v>
      </c>
      <c r="E60">
        <v>57.5</v>
      </c>
      <c r="F60">
        <v>58</v>
      </c>
      <c r="G60">
        <v>58.3</v>
      </c>
      <c r="M60" s="17" t="s">
        <v>87</v>
      </c>
      <c r="N60" s="11">
        <f t="shared" si="5"/>
        <v>59.9</v>
      </c>
      <c r="O60" s="10">
        <f t="shared" si="6"/>
        <v>59.9</v>
      </c>
      <c r="P60" s="10">
        <f t="shared" si="7"/>
        <v>60</v>
      </c>
      <c r="Q60" s="10">
        <f t="shared" si="8"/>
        <v>60.5</v>
      </c>
      <c r="R60" s="10">
        <f t="shared" si="9"/>
        <v>60.8</v>
      </c>
    </row>
    <row r="61" spans="2:18" ht="15.75" x14ac:dyDescent="0.25">
      <c r="B61" t="s">
        <v>88</v>
      </c>
      <c r="C61">
        <v>57.5</v>
      </c>
      <c r="D61">
        <v>57.6</v>
      </c>
      <c r="E61">
        <v>57.7</v>
      </c>
      <c r="F61">
        <v>58.2</v>
      </c>
      <c r="G61">
        <v>58.4</v>
      </c>
      <c r="M61" s="17" t="s">
        <v>88</v>
      </c>
      <c r="N61" s="11">
        <f t="shared" si="5"/>
        <v>60</v>
      </c>
      <c r="O61" s="10">
        <f t="shared" si="6"/>
        <v>60.1</v>
      </c>
      <c r="P61" s="10">
        <f t="shared" si="7"/>
        <v>60.2</v>
      </c>
      <c r="Q61" s="10">
        <f t="shared" si="8"/>
        <v>60.7</v>
      </c>
      <c r="R61" s="10">
        <f t="shared" si="9"/>
        <v>60.9</v>
      </c>
    </row>
    <row r="62" spans="2:18" ht="15.75" x14ac:dyDescent="0.25">
      <c r="B62" t="s">
        <v>89</v>
      </c>
      <c r="C62">
        <v>58.2</v>
      </c>
      <c r="D62">
        <v>58.3</v>
      </c>
      <c r="E62">
        <v>58.3</v>
      </c>
      <c r="F62">
        <v>58.8</v>
      </c>
      <c r="G62">
        <v>59.1</v>
      </c>
      <c r="M62" s="17" t="s">
        <v>89</v>
      </c>
      <c r="N62" s="11">
        <f t="shared" si="5"/>
        <v>60.7</v>
      </c>
      <c r="O62" s="10">
        <f t="shared" si="6"/>
        <v>60.8</v>
      </c>
      <c r="P62" s="10">
        <f t="shared" si="7"/>
        <v>60.8</v>
      </c>
      <c r="Q62" s="10">
        <f t="shared" si="8"/>
        <v>61.3</v>
      </c>
      <c r="R62" s="10">
        <f t="shared" si="9"/>
        <v>61.6</v>
      </c>
    </row>
    <row r="63" spans="2:18" ht="15.75" x14ac:dyDescent="0.25">
      <c r="B63" t="s">
        <v>90</v>
      </c>
      <c r="C63">
        <v>53.5</v>
      </c>
      <c r="D63">
        <v>53.5</v>
      </c>
      <c r="E63">
        <v>53.5</v>
      </c>
      <c r="F63">
        <v>54.1</v>
      </c>
      <c r="G63">
        <v>54.3</v>
      </c>
      <c r="M63" s="17" t="s">
        <v>90</v>
      </c>
      <c r="N63" s="11">
        <f t="shared" si="5"/>
        <v>56</v>
      </c>
      <c r="O63" s="10">
        <f t="shared" si="6"/>
        <v>56</v>
      </c>
      <c r="P63" s="10">
        <f t="shared" si="7"/>
        <v>56</v>
      </c>
      <c r="Q63" s="10">
        <f t="shared" si="8"/>
        <v>56.6</v>
      </c>
      <c r="R63" s="10">
        <f t="shared" si="9"/>
        <v>56.8</v>
      </c>
    </row>
    <row r="64" spans="2:18" ht="15.75" x14ac:dyDescent="0.25">
      <c r="B64" t="s">
        <v>91</v>
      </c>
      <c r="C64">
        <v>53.9</v>
      </c>
      <c r="D64">
        <v>53.9</v>
      </c>
      <c r="E64">
        <v>53.9</v>
      </c>
      <c r="F64">
        <v>54.5</v>
      </c>
      <c r="G64">
        <v>54.7</v>
      </c>
      <c r="M64" s="17" t="s">
        <v>91</v>
      </c>
      <c r="N64" s="11">
        <f t="shared" si="5"/>
        <v>56.4</v>
      </c>
      <c r="O64" s="10">
        <f t="shared" si="6"/>
        <v>56.4</v>
      </c>
      <c r="P64" s="10">
        <f t="shared" si="7"/>
        <v>56.4</v>
      </c>
      <c r="Q64" s="10">
        <f t="shared" si="8"/>
        <v>57</v>
      </c>
      <c r="R64" s="10">
        <f t="shared" si="9"/>
        <v>57.2</v>
      </c>
    </row>
    <row r="65" spans="2:18" ht="15.75" x14ac:dyDescent="0.25">
      <c r="B65" t="s">
        <v>92</v>
      </c>
      <c r="C65">
        <v>54.2</v>
      </c>
      <c r="D65">
        <v>54.3</v>
      </c>
      <c r="E65">
        <v>54.2</v>
      </c>
      <c r="F65">
        <v>54.8</v>
      </c>
      <c r="G65">
        <v>55</v>
      </c>
      <c r="M65" s="17" t="s">
        <v>92</v>
      </c>
      <c r="N65" s="11">
        <f t="shared" si="5"/>
        <v>56.7</v>
      </c>
      <c r="O65" s="10">
        <f t="shared" si="6"/>
        <v>56.8</v>
      </c>
      <c r="P65" s="10">
        <f t="shared" si="7"/>
        <v>56.7</v>
      </c>
      <c r="Q65" s="10">
        <f t="shared" si="8"/>
        <v>57.3</v>
      </c>
      <c r="R65" s="10">
        <f t="shared" si="9"/>
        <v>57.5</v>
      </c>
    </row>
    <row r="66" spans="2:18" ht="15.75" x14ac:dyDescent="0.25">
      <c r="B66" t="s">
        <v>93</v>
      </c>
      <c r="C66">
        <v>54.2</v>
      </c>
      <c r="D66">
        <v>54.2</v>
      </c>
      <c r="E66">
        <v>54.2</v>
      </c>
      <c r="F66">
        <v>54.8</v>
      </c>
      <c r="G66">
        <v>54.9</v>
      </c>
      <c r="M66" s="17" t="s">
        <v>93</v>
      </c>
      <c r="N66" s="11">
        <f t="shared" si="5"/>
        <v>56.7</v>
      </c>
      <c r="O66" s="10">
        <f t="shared" si="6"/>
        <v>56.7</v>
      </c>
      <c r="P66" s="10">
        <f t="shared" si="7"/>
        <v>56.7</v>
      </c>
      <c r="Q66" s="10">
        <f t="shared" si="8"/>
        <v>57.3</v>
      </c>
      <c r="R66" s="10">
        <f t="shared" si="9"/>
        <v>57.4</v>
      </c>
    </row>
    <row r="67" spans="2:18" ht="15.75" x14ac:dyDescent="0.25">
      <c r="B67" t="s">
        <v>94</v>
      </c>
      <c r="C67">
        <v>58.4</v>
      </c>
      <c r="D67">
        <v>58.4</v>
      </c>
      <c r="E67">
        <v>58.1</v>
      </c>
      <c r="F67">
        <v>58.9</v>
      </c>
      <c r="G67">
        <v>58.8</v>
      </c>
      <c r="M67" s="17" t="s">
        <v>94</v>
      </c>
      <c r="N67" s="11">
        <f t="shared" si="5"/>
        <v>60.9</v>
      </c>
      <c r="O67" s="10">
        <f t="shared" si="6"/>
        <v>60.9</v>
      </c>
      <c r="P67" s="10">
        <f t="shared" si="7"/>
        <v>60.6</v>
      </c>
      <c r="Q67" s="10">
        <f t="shared" si="8"/>
        <v>61.4</v>
      </c>
      <c r="R67" s="10">
        <f t="shared" si="9"/>
        <v>61.3</v>
      </c>
    </row>
    <row r="68" spans="2:18" ht="15.75" x14ac:dyDescent="0.25">
      <c r="B68" t="s">
        <v>95</v>
      </c>
      <c r="C68">
        <v>48</v>
      </c>
      <c r="D68">
        <v>48.1</v>
      </c>
      <c r="E68">
        <v>47.1</v>
      </c>
      <c r="F68">
        <v>48.8</v>
      </c>
      <c r="G68">
        <v>47.9</v>
      </c>
      <c r="M68" s="17" t="s">
        <v>95</v>
      </c>
      <c r="N68" s="11">
        <f t="shared" si="5"/>
        <v>50.5</v>
      </c>
      <c r="O68" s="10">
        <f t="shared" si="6"/>
        <v>50.6</v>
      </c>
      <c r="P68" s="10">
        <f t="shared" si="7"/>
        <v>49.6</v>
      </c>
      <c r="Q68" s="10">
        <f t="shared" si="8"/>
        <v>51.3</v>
      </c>
      <c r="R68" s="10">
        <f t="shared" si="9"/>
        <v>50.4</v>
      </c>
    </row>
    <row r="69" spans="2:18" ht="15.75" x14ac:dyDescent="0.25">
      <c r="B69" t="s">
        <v>96</v>
      </c>
      <c r="C69">
        <v>60.1</v>
      </c>
      <c r="D69">
        <v>60.2</v>
      </c>
      <c r="E69">
        <v>59.6</v>
      </c>
      <c r="F69">
        <v>60.5</v>
      </c>
      <c r="G69">
        <v>60.3</v>
      </c>
      <c r="M69" s="17" t="s">
        <v>96</v>
      </c>
      <c r="N69" s="11">
        <f t="shared" si="5"/>
        <v>62.6</v>
      </c>
      <c r="O69" s="10">
        <f t="shared" si="6"/>
        <v>62.7</v>
      </c>
      <c r="P69" s="10">
        <f t="shared" si="7"/>
        <v>62.1</v>
      </c>
      <c r="Q69" s="10">
        <f t="shared" si="8"/>
        <v>63</v>
      </c>
      <c r="R69" s="10">
        <f t="shared" si="9"/>
        <v>62.8</v>
      </c>
    </row>
    <row r="70" spans="2:18" ht="15.75" x14ac:dyDescent="0.25">
      <c r="B70" t="s">
        <v>97</v>
      </c>
      <c r="C70">
        <v>59.6</v>
      </c>
      <c r="D70">
        <v>59.7</v>
      </c>
      <c r="E70">
        <v>57.1</v>
      </c>
      <c r="F70">
        <v>60.1</v>
      </c>
      <c r="G70">
        <v>57.8</v>
      </c>
      <c r="M70" s="17" t="s">
        <v>97</v>
      </c>
      <c r="N70" s="11">
        <f t="shared" si="5"/>
        <v>62.1</v>
      </c>
      <c r="O70" s="10">
        <f t="shared" si="6"/>
        <v>62.2</v>
      </c>
      <c r="P70" s="10">
        <f t="shared" si="7"/>
        <v>59.6</v>
      </c>
      <c r="Q70" s="10">
        <f t="shared" si="8"/>
        <v>62.6</v>
      </c>
      <c r="R70" s="10">
        <f t="shared" si="9"/>
        <v>60.3</v>
      </c>
    </row>
    <row r="71" spans="2:18" ht="15.75" x14ac:dyDescent="0.25">
      <c r="B71" t="s">
        <v>98</v>
      </c>
      <c r="C71">
        <v>61.5</v>
      </c>
      <c r="D71">
        <v>61.6</v>
      </c>
      <c r="E71">
        <v>59.7</v>
      </c>
      <c r="F71">
        <v>62</v>
      </c>
      <c r="G71">
        <v>60.5</v>
      </c>
      <c r="M71" s="17" t="s">
        <v>98</v>
      </c>
      <c r="N71" s="11">
        <f t="shared" si="5"/>
        <v>64</v>
      </c>
      <c r="O71" s="10">
        <f t="shared" si="6"/>
        <v>64.099999999999994</v>
      </c>
      <c r="P71" s="10">
        <f t="shared" si="7"/>
        <v>62.2</v>
      </c>
      <c r="Q71" s="10">
        <f t="shared" si="8"/>
        <v>64.5</v>
      </c>
      <c r="R71" s="10">
        <f t="shared" si="9"/>
        <v>63</v>
      </c>
    </row>
    <row r="72" spans="2:18" ht="15.75" x14ac:dyDescent="0.25">
      <c r="B72" t="s">
        <v>99</v>
      </c>
      <c r="C72">
        <v>63.3</v>
      </c>
      <c r="D72">
        <v>63.4</v>
      </c>
      <c r="E72">
        <v>59.2</v>
      </c>
      <c r="F72">
        <v>64.2</v>
      </c>
      <c r="G72">
        <v>60.3</v>
      </c>
      <c r="M72" s="17" t="s">
        <v>99</v>
      </c>
      <c r="N72" s="11">
        <f t="shared" si="5"/>
        <v>65.8</v>
      </c>
      <c r="O72" s="10">
        <f t="shared" si="6"/>
        <v>65.900000000000006</v>
      </c>
      <c r="P72" s="10">
        <f t="shared" si="7"/>
        <v>61.7</v>
      </c>
      <c r="Q72" s="10">
        <f t="shared" si="8"/>
        <v>66.7</v>
      </c>
      <c r="R72" s="10">
        <f t="shared" si="9"/>
        <v>62.8</v>
      </c>
    </row>
    <row r="73" spans="2:18" ht="15.75" x14ac:dyDescent="0.25">
      <c r="B73" t="s">
        <v>100</v>
      </c>
      <c r="C73">
        <v>61.6</v>
      </c>
      <c r="D73">
        <v>61.6</v>
      </c>
      <c r="E73">
        <v>56.9</v>
      </c>
      <c r="F73">
        <v>62.2</v>
      </c>
      <c r="G73">
        <v>57.8</v>
      </c>
      <c r="M73" s="17" t="s">
        <v>100</v>
      </c>
      <c r="N73" s="11">
        <f t="shared" si="5"/>
        <v>64.099999999999994</v>
      </c>
      <c r="O73" s="10">
        <f t="shared" si="6"/>
        <v>64.099999999999994</v>
      </c>
      <c r="P73" s="10">
        <f t="shared" si="7"/>
        <v>59.4</v>
      </c>
      <c r="Q73" s="10">
        <f t="shared" si="8"/>
        <v>64.7</v>
      </c>
      <c r="R73" s="10">
        <f t="shared" si="9"/>
        <v>60.3</v>
      </c>
    </row>
    <row r="74" spans="2:18" ht="15.75" x14ac:dyDescent="0.25">
      <c r="B74" t="s">
        <v>101</v>
      </c>
      <c r="C74">
        <v>61.9</v>
      </c>
      <c r="D74">
        <v>61.9</v>
      </c>
      <c r="E74">
        <v>57.9</v>
      </c>
      <c r="F74">
        <v>62.4</v>
      </c>
      <c r="G74">
        <v>58.7</v>
      </c>
      <c r="M74" s="17" t="s">
        <v>101</v>
      </c>
      <c r="N74" s="11">
        <f t="shared" si="5"/>
        <v>64.400000000000006</v>
      </c>
      <c r="O74" s="10">
        <f t="shared" si="6"/>
        <v>64.400000000000006</v>
      </c>
      <c r="P74" s="10">
        <f t="shared" si="7"/>
        <v>60.4</v>
      </c>
      <c r="Q74" s="10">
        <f t="shared" si="8"/>
        <v>64.900000000000006</v>
      </c>
      <c r="R74" s="10">
        <f t="shared" si="9"/>
        <v>61.2</v>
      </c>
    </row>
    <row r="75" spans="2:18" ht="15.75" x14ac:dyDescent="0.25">
      <c r="B75" t="s">
        <v>102</v>
      </c>
      <c r="C75">
        <v>62</v>
      </c>
      <c r="D75">
        <v>62.1</v>
      </c>
      <c r="E75">
        <v>58.5</v>
      </c>
      <c r="F75">
        <v>62.6</v>
      </c>
      <c r="G75">
        <v>59.4</v>
      </c>
      <c r="M75" s="17" t="s">
        <v>102</v>
      </c>
      <c r="N75" s="11">
        <f t="shared" si="5"/>
        <v>64.5</v>
      </c>
      <c r="O75" s="10">
        <f t="shared" si="6"/>
        <v>64.599999999999994</v>
      </c>
      <c r="P75" s="10">
        <f t="shared" si="7"/>
        <v>61</v>
      </c>
      <c r="Q75" s="10">
        <f t="shared" si="8"/>
        <v>65.099999999999994</v>
      </c>
      <c r="R75" s="10">
        <f t="shared" si="9"/>
        <v>61.9</v>
      </c>
    </row>
    <row r="76" spans="2:18" ht="15.75" x14ac:dyDescent="0.25">
      <c r="B76" t="s">
        <v>103</v>
      </c>
      <c r="C76">
        <v>53.7</v>
      </c>
      <c r="D76">
        <v>53.8</v>
      </c>
      <c r="E76">
        <v>53.7</v>
      </c>
      <c r="F76">
        <v>54.3</v>
      </c>
      <c r="G76">
        <v>54.4</v>
      </c>
      <c r="M76" s="17" t="s">
        <v>103</v>
      </c>
      <c r="N76" s="11">
        <f t="shared" si="5"/>
        <v>56.2</v>
      </c>
      <c r="O76" s="10">
        <f t="shared" si="6"/>
        <v>56.3</v>
      </c>
      <c r="P76" s="10">
        <f t="shared" si="7"/>
        <v>56.2</v>
      </c>
      <c r="Q76" s="10">
        <f t="shared" si="8"/>
        <v>56.8</v>
      </c>
      <c r="R76" s="10">
        <f t="shared" si="9"/>
        <v>56.9</v>
      </c>
    </row>
    <row r="77" spans="2:18" ht="15.75" x14ac:dyDescent="0.25">
      <c r="B77" t="s">
        <v>104</v>
      </c>
      <c r="C77">
        <v>54.4</v>
      </c>
      <c r="D77">
        <v>54.5</v>
      </c>
      <c r="E77">
        <v>54.4</v>
      </c>
      <c r="F77">
        <v>55</v>
      </c>
      <c r="G77">
        <v>55.1</v>
      </c>
      <c r="M77" s="17" t="s">
        <v>104</v>
      </c>
      <c r="N77" s="11">
        <f t="shared" si="5"/>
        <v>56.9</v>
      </c>
      <c r="O77" s="10">
        <f t="shared" si="6"/>
        <v>57</v>
      </c>
      <c r="P77" s="10">
        <f t="shared" si="7"/>
        <v>56.9</v>
      </c>
      <c r="Q77" s="10">
        <f t="shared" si="8"/>
        <v>57.5</v>
      </c>
      <c r="R77" s="10">
        <f t="shared" si="9"/>
        <v>57.6</v>
      </c>
    </row>
    <row r="78" spans="2:18" ht="15.75" x14ac:dyDescent="0.25">
      <c r="B78" t="s">
        <v>105</v>
      </c>
      <c r="C78">
        <v>64.5</v>
      </c>
      <c r="D78">
        <v>64.5</v>
      </c>
      <c r="E78">
        <v>59.3</v>
      </c>
      <c r="F78">
        <v>65.5</v>
      </c>
      <c r="G78">
        <v>60.6</v>
      </c>
      <c r="M78" s="17" t="s">
        <v>105</v>
      </c>
      <c r="N78" s="11">
        <f t="shared" si="5"/>
        <v>67</v>
      </c>
      <c r="O78" s="10">
        <f t="shared" si="6"/>
        <v>67</v>
      </c>
      <c r="P78" s="10">
        <f t="shared" si="7"/>
        <v>61.8</v>
      </c>
      <c r="Q78" s="10">
        <f t="shared" si="8"/>
        <v>68</v>
      </c>
      <c r="R78" s="10">
        <f t="shared" si="9"/>
        <v>63.1</v>
      </c>
    </row>
    <row r="79" spans="2:18" ht="15.75" x14ac:dyDescent="0.25">
      <c r="B79" t="s">
        <v>106</v>
      </c>
      <c r="C79">
        <v>65.099999999999994</v>
      </c>
      <c r="D79">
        <v>65.099999999999994</v>
      </c>
      <c r="E79">
        <v>59.6</v>
      </c>
      <c r="F79">
        <v>66.099999999999994</v>
      </c>
      <c r="G79">
        <v>61</v>
      </c>
      <c r="M79" s="17" t="s">
        <v>106</v>
      </c>
      <c r="N79" s="11">
        <f t="shared" si="5"/>
        <v>67.599999999999994</v>
      </c>
      <c r="O79" s="10">
        <f t="shared" si="6"/>
        <v>67.599999999999994</v>
      </c>
      <c r="P79" s="10">
        <f t="shared" si="7"/>
        <v>62.1</v>
      </c>
      <c r="Q79" s="10">
        <f t="shared" si="8"/>
        <v>68.599999999999994</v>
      </c>
      <c r="R79" s="10">
        <f t="shared" si="9"/>
        <v>63.5</v>
      </c>
    </row>
    <row r="80" spans="2:18" ht="15.75" x14ac:dyDescent="0.25">
      <c r="B80" t="s">
        <v>107</v>
      </c>
      <c r="C80">
        <v>60.1</v>
      </c>
      <c r="D80">
        <v>60.2</v>
      </c>
      <c r="E80">
        <v>56.1</v>
      </c>
      <c r="F80">
        <v>60.4</v>
      </c>
      <c r="G80">
        <v>56.8</v>
      </c>
      <c r="M80" s="17" t="s">
        <v>107</v>
      </c>
      <c r="N80" s="11">
        <f t="shared" si="5"/>
        <v>62.6</v>
      </c>
      <c r="O80" s="10">
        <f t="shared" si="6"/>
        <v>62.7</v>
      </c>
      <c r="P80" s="10">
        <f t="shared" si="7"/>
        <v>58.6</v>
      </c>
      <c r="Q80" s="10">
        <f t="shared" si="8"/>
        <v>62.9</v>
      </c>
      <c r="R80" s="10">
        <f t="shared" si="9"/>
        <v>59.3</v>
      </c>
    </row>
    <row r="81" spans="2:18" ht="15.75" x14ac:dyDescent="0.25">
      <c r="B81" t="s">
        <v>108</v>
      </c>
      <c r="C81">
        <v>62.9</v>
      </c>
      <c r="D81">
        <v>63</v>
      </c>
      <c r="E81">
        <v>59.9</v>
      </c>
      <c r="F81">
        <v>63.3</v>
      </c>
      <c r="G81">
        <v>60.7</v>
      </c>
      <c r="M81" s="17" t="s">
        <v>108</v>
      </c>
      <c r="N81" s="11">
        <f t="shared" si="5"/>
        <v>65.400000000000006</v>
      </c>
      <c r="O81" s="10">
        <f t="shared" si="6"/>
        <v>65.5</v>
      </c>
      <c r="P81" s="10">
        <f t="shared" si="7"/>
        <v>62.4</v>
      </c>
      <c r="Q81" s="10">
        <f t="shared" si="8"/>
        <v>65.8</v>
      </c>
      <c r="R81" s="10">
        <f t="shared" si="9"/>
        <v>63.2</v>
      </c>
    </row>
    <row r="82" spans="2:18" ht="15.75" x14ac:dyDescent="0.25">
      <c r="B82" t="s">
        <v>109</v>
      </c>
      <c r="C82">
        <v>61.7</v>
      </c>
      <c r="D82">
        <v>61.7</v>
      </c>
      <c r="E82">
        <v>57.9</v>
      </c>
      <c r="F82">
        <v>62.2</v>
      </c>
      <c r="G82">
        <v>58.8</v>
      </c>
      <c r="M82" s="17" t="s">
        <v>109</v>
      </c>
      <c r="N82" s="11">
        <f t="shared" si="5"/>
        <v>64.2</v>
      </c>
      <c r="O82" s="10">
        <f t="shared" si="6"/>
        <v>64.2</v>
      </c>
      <c r="P82" s="10">
        <f t="shared" si="7"/>
        <v>60.4</v>
      </c>
      <c r="Q82" s="10">
        <f t="shared" si="8"/>
        <v>64.7</v>
      </c>
      <c r="R82" s="10">
        <f t="shared" si="9"/>
        <v>61.3</v>
      </c>
    </row>
    <row r="83" spans="2:18" ht="15.75" x14ac:dyDescent="0.25">
      <c r="B83" t="s">
        <v>110</v>
      </c>
      <c r="C83">
        <v>61.6</v>
      </c>
      <c r="D83">
        <v>61.7</v>
      </c>
      <c r="E83">
        <v>57.7</v>
      </c>
      <c r="F83">
        <v>62.1</v>
      </c>
      <c r="G83">
        <v>58.5</v>
      </c>
      <c r="M83" s="17" t="s">
        <v>110</v>
      </c>
      <c r="N83" s="11">
        <f t="shared" si="5"/>
        <v>64.099999999999994</v>
      </c>
      <c r="O83" s="10">
        <f t="shared" si="6"/>
        <v>64.2</v>
      </c>
      <c r="P83" s="10">
        <f t="shared" si="7"/>
        <v>60.2</v>
      </c>
      <c r="Q83" s="10">
        <f t="shared" si="8"/>
        <v>64.599999999999994</v>
      </c>
      <c r="R83" s="10">
        <f t="shared" si="9"/>
        <v>61</v>
      </c>
    </row>
    <row r="84" spans="2:18" ht="15.75" x14ac:dyDescent="0.25">
      <c r="B84" t="s">
        <v>111</v>
      </c>
      <c r="C84">
        <v>61.7</v>
      </c>
      <c r="D84">
        <v>61.7</v>
      </c>
      <c r="E84">
        <v>57.5</v>
      </c>
      <c r="F84">
        <v>62.2</v>
      </c>
      <c r="G84">
        <v>58.4</v>
      </c>
      <c r="M84" s="17" t="s">
        <v>111</v>
      </c>
      <c r="N84" s="11">
        <f t="shared" si="5"/>
        <v>64.2</v>
      </c>
      <c r="O84" s="10">
        <f t="shared" si="6"/>
        <v>64.2</v>
      </c>
      <c r="P84" s="10">
        <f t="shared" si="7"/>
        <v>60</v>
      </c>
      <c r="Q84" s="10">
        <f t="shared" si="8"/>
        <v>64.7</v>
      </c>
      <c r="R84" s="10">
        <f t="shared" si="9"/>
        <v>60.9</v>
      </c>
    </row>
    <row r="85" spans="2:18" ht="15.75" x14ac:dyDescent="0.25">
      <c r="B85" t="s">
        <v>112</v>
      </c>
      <c r="C85">
        <v>61.4</v>
      </c>
      <c r="D85">
        <v>61.4</v>
      </c>
      <c r="E85">
        <v>57.1</v>
      </c>
      <c r="F85">
        <v>61.8</v>
      </c>
      <c r="G85">
        <v>58.1</v>
      </c>
      <c r="M85" s="17" t="s">
        <v>112</v>
      </c>
      <c r="N85" s="11">
        <f t="shared" si="5"/>
        <v>63.9</v>
      </c>
      <c r="O85" s="10">
        <f t="shared" si="6"/>
        <v>63.9</v>
      </c>
      <c r="P85" s="10">
        <f t="shared" si="7"/>
        <v>59.6</v>
      </c>
      <c r="Q85" s="10">
        <f t="shared" si="8"/>
        <v>64.3</v>
      </c>
      <c r="R85" s="10">
        <f t="shared" si="9"/>
        <v>60.6</v>
      </c>
    </row>
    <row r="86" spans="2:18" ht="15.75" x14ac:dyDescent="0.25">
      <c r="B86" t="s">
        <v>113</v>
      </c>
      <c r="C86">
        <v>61.8</v>
      </c>
      <c r="D86">
        <v>61.8</v>
      </c>
      <c r="E86">
        <v>58.4</v>
      </c>
      <c r="F86">
        <v>62.6</v>
      </c>
      <c r="G86">
        <v>59.4</v>
      </c>
      <c r="M86" s="17" t="s">
        <v>113</v>
      </c>
      <c r="N86" s="11">
        <f t="shared" si="5"/>
        <v>64.3</v>
      </c>
      <c r="O86" s="10">
        <f t="shared" si="6"/>
        <v>64.3</v>
      </c>
      <c r="P86" s="10">
        <f t="shared" si="7"/>
        <v>60.9</v>
      </c>
      <c r="Q86" s="10">
        <f t="shared" si="8"/>
        <v>65.099999999999994</v>
      </c>
      <c r="R86" s="10">
        <f t="shared" si="9"/>
        <v>61.9</v>
      </c>
    </row>
    <row r="87" spans="2:18" ht="15.75" x14ac:dyDescent="0.25">
      <c r="B87" t="s">
        <v>114</v>
      </c>
      <c r="C87">
        <v>62.2</v>
      </c>
      <c r="D87">
        <v>62.3</v>
      </c>
      <c r="E87">
        <v>58.6</v>
      </c>
      <c r="F87">
        <v>63.1</v>
      </c>
      <c r="G87">
        <v>59.7</v>
      </c>
      <c r="M87" s="17" t="s">
        <v>114</v>
      </c>
      <c r="N87" s="11">
        <f t="shared" si="5"/>
        <v>64.7</v>
      </c>
      <c r="O87" s="10">
        <f t="shared" si="6"/>
        <v>64.8</v>
      </c>
      <c r="P87" s="10">
        <f t="shared" si="7"/>
        <v>61.1</v>
      </c>
      <c r="Q87" s="10">
        <f t="shared" si="8"/>
        <v>65.599999999999994</v>
      </c>
      <c r="R87" s="10">
        <f t="shared" si="9"/>
        <v>62.2</v>
      </c>
    </row>
    <row r="88" spans="2:18" ht="15.75" x14ac:dyDescent="0.25">
      <c r="B88" t="s">
        <v>115</v>
      </c>
      <c r="C88">
        <v>62.3</v>
      </c>
      <c r="D88">
        <v>62.4</v>
      </c>
      <c r="E88">
        <v>58.6</v>
      </c>
      <c r="F88">
        <v>63.2</v>
      </c>
      <c r="G88">
        <v>59.7</v>
      </c>
      <c r="M88" s="17" t="s">
        <v>115</v>
      </c>
      <c r="N88" s="11">
        <f t="shared" si="5"/>
        <v>64.8</v>
      </c>
      <c r="O88" s="10">
        <f t="shared" si="6"/>
        <v>64.900000000000006</v>
      </c>
      <c r="P88" s="10">
        <f t="shared" si="7"/>
        <v>61.1</v>
      </c>
      <c r="Q88" s="10">
        <f t="shared" si="8"/>
        <v>65.7</v>
      </c>
      <c r="R88" s="10">
        <f t="shared" si="9"/>
        <v>62.2</v>
      </c>
    </row>
    <row r="89" spans="2:18" ht="15.75" x14ac:dyDescent="0.25">
      <c r="B89" t="s">
        <v>116</v>
      </c>
      <c r="C89">
        <v>62.8</v>
      </c>
      <c r="D89">
        <v>62.9</v>
      </c>
      <c r="E89">
        <v>59</v>
      </c>
      <c r="F89">
        <v>63.7</v>
      </c>
      <c r="G89">
        <v>60.1</v>
      </c>
      <c r="M89" s="17" t="s">
        <v>116</v>
      </c>
      <c r="N89" s="11">
        <f t="shared" ref="N89:N152" si="10">C89+2.5</f>
        <v>65.3</v>
      </c>
      <c r="O89" s="10">
        <f t="shared" ref="O89:O114" si="11">D89+2.5</f>
        <v>65.400000000000006</v>
      </c>
      <c r="P89" s="10">
        <f t="shared" ref="P89:P114" si="12">E89+2.5</f>
        <v>61.5</v>
      </c>
      <c r="Q89" s="10">
        <f t="shared" si="8"/>
        <v>66.2</v>
      </c>
      <c r="R89" s="10">
        <f t="shared" si="9"/>
        <v>62.6</v>
      </c>
    </row>
    <row r="90" spans="2:18" ht="15.75" x14ac:dyDescent="0.25">
      <c r="B90" t="s">
        <v>117</v>
      </c>
      <c r="C90">
        <v>63.6</v>
      </c>
      <c r="D90">
        <v>63.7</v>
      </c>
      <c r="E90">
        <v>59.5</v>
      </c>
      <c r="F90">
        <v>64.5</v>
      </c>
      <c r="G90">
        <v>60.6</v>
      </c>
      <c r="M90" s="17" t="s">
        <v>117</v>
      </c>
      <c r="N90" s="11">
        <f t="shared" si="10"/>
        <v>66.099999999999994</v>
      </c>
      <c r="O90" s="10">
        <f t="shared" si="11"/>
        <v>66.2</v>
      </c>
      <c r="P90" s="10">
        <f t="shared" si="12"/>
        <v>62</v>
      </c>
      <c r="Q90" s="10">
        <f t="shared" si="8"/>
        <v>67</v>
      </c>
      <c r="R90" s="10">
        <f t="shared" si="9"/>
        <v>63.1</v>
      </c>
    </row>
    <row r="91" spans="2:18" ht="15.75" x14ac:dyDescent="0.25">
      <c r="B91" t="s">
        <v>118</v>
      </c>
      <c r="C91">
        <v>63.7</v>
      </c>
      <c r="D91">
        <v>63.8</v>
      </c>
      <c r="E91">
        <v>59.5</v>
      </c>
      <c r="F91">
        <v>64.7</v>
      </c>
      <c r="G91">
        <v>60.7</v>
      </c>
      <c r="M91" s="17" t="s">
        <v>118</v>
      </c>
      <c r="N91" s="11">
        <f t="shared" si="10"/>
        <v>66.2</v>
      </c>
      <c r="O91" s="10">
        <f t="shared" si="11"/>
        <v>66.3</v>
      </c>
      <c r="P91" s="10">
        <f t="shared" si="12"/>
        <v>62</v>
      </c>
      <c r="Q91" s="10">
        <f t="shared" si="8"/>
        <v>67.2</v>
      </c>
      <c r="R91" s="10">
        <f t="shared" si="9"/>
        <v>63.2</v>
      </c>
    </row>
    <row r="92" spans="2:18" ht="15.75" x14ac:dyDescent="0.25">
      <c r="B92" t="s">
        <v>119</v>
      </c>
      <c r="C92">
        <v>63.1</v>
      </c>
      <c r="D92">
        <v>63.2</v>
      </c>
      <c r="E92">
        <v>59</v>
      </c>
      <c r="F92">
        <v>64</v>
      </c>
      <c r="G92">
        <v>60.2</v>
      </c>
      <c r="M92" s="17" t="s">
        <v>119</v>
      </c>
      <c r="N92" s="11">
        <f t="shared" si="10"/>
        <v>65.599999999999994</v>
      </c>
      <c r="O92" s="10">
        <f t="shared" si="11"/>
        <v>65.7</v>
      </c>
      <c r="P92" s="10">
        <f t="shared" si="12"/>
        <v>61.5</v>
      </c>
      <c r="Q92" s="10">
        <f t="shared" si="8"/>
        <v>66.5</v>
      </c>
      <c r="R92" s="10">
        <f t="shared" si="9"/>
        <v>62.7</v>
      </c>
    </row>
    <row r="93" spans="2:18" ht="15.75" x14ac:dyDescent="0.25">
      <c r="B93" t="s">
        <v>120</v>
      </c>
      <c r="C93">
        <v>60.8</v>
      </c>
      <c r="D93">
        <v>60.8</v>
      </c>
      <c r="E93">
        <v>56.6</v>
      </c>
      <c r="F93">
        <v>61.7</v>
      </c>
      <c r="G93">
        <v>57.8</v>
      </c>
      <c r="M93" s="17" t="s">
        <v>120</v>
      </c>
      <c r="N93" s="11">
        <f t="shared" si="10"/>
        <v>63.3</v>
      </c>
      <c r="O93" s="10">
        <f t="shared" si="11"/>
        <v>63.3</v>
      </c>
      <c r="P93" s="10">
        <f t="shared" si="12"/>
        <v>59.1</v>
      </c>
      <c r="Q93" s="10">
        <f t="shared" si="8"/>
        <v>64.2</v>
      </c>
      <c r="R93" s="10">
        <f t="shared" si="9"/>
        <v>60.3</v>
      </c>
    </row>
    <row r="94" spans="2:18" ht="15.75" x14ac:dyDescent="0.25">
      <c r="B94" t="s">
        <v>121</v>
      </c>
      <c r="C94">
        <v>60.8</v>
      </c>
      <c r="D94">
        <v>60.9</v>
      </c>
      <c r="E94">
        <v>56.5</v>
      </c>
      <c r="F94">
        <v>61.8</v>
      </c>
      <c r="G94">
        <v>57.7</v>
      </c>
      <c r="M94" s="17" t="s">
        <v>121</v>
      </c>
      <c r="N94" s="11">
        <f t="shared" si="10"/>
        <v>63.3</v>
      </c>
      <c r="O94" s="10">
        <f t="shared" si="11"/>
        <v>63.4</v>
      </c>
      <c r="P94" s="10">
        <f t="shared" si="12"/>
        <v>59</v>
      </c>
      <c r="Q94" s="10">
        <f t="shared" si="8"/>
        <v>64.3</v>
      </c>
      <c r="R94" s="10">
        <f t="shared" si="9"/>
        <v>60.2</v>
      </c>
    </row>
    <row r="95" spans="2:18" ht="15.75" x14ac:dyDescent="0.25">
      <c r="B95" t="s">
        <v>122</v>
      </c>
      <c r="C95">
        <v>60.5</v>
      </c>
      <c r="D95">
        <v>60.5</v>
      </c>
      <c r="E95">
        <v>57.3</v>
      </c>
      <c r="F95">
        <v>61.4</v>
      </c>
      <c r="G95">
        <v>58.3</v>
      </c>
      <c r="M95" s="17" t="s">
        <v>122</v>
      </c>
      <c r="N95" s="11">
        <f t="shared" si="10"/>
        <v>63</v>
      </c>
      <c r="O95" s="10">
        <f t="shared" si="11"/>
        <v>63</v>
      </c>
      <c r="P95" s="10">
        <f t="shared" si="12"/>
        <v>59.8</v>
      </c>
      <c r="Q95" s="10">
        <f t="shared" si="8"/>
        <v>63.9</v>
      </c>
      <c r="R95" s="10">
        <f t="shared" si="9"/>
        <v>60.8</v>
      </c>
    </row>
    <row r="96" spans="2:18" ht="15.75" x14ac:dyDescent="0.25">
      <c r="B96" t="s">
        <v>123</v>
      </c>
      <c r="C96">
        <v>63.1</v>
      </c>
      <c r="D96">
        <v>63.1</v>
      </c>
      <c r="E96">
        <v>58.3</v>
      </c>
      <c r="F96">
        <v>64.099999999999994</v>
      </c>
      <c r="G96">
        <v>59.6</v>
      </c>
      <c r="M96" s="17" t="s">
        <v>123</v>
      </c>
      <c r="N96" s="11">
        <f t="shared" si="10"/>
        <v>65.599999999999994</v>
      </c>
      <c r="O96" s="10">
        <f t="shared" si="11"/>
        <v>65.599999999999994</v>
      </c>
      <c r="P96" s="10">
        <f t="shared" si="12"/>
        <v>60.8</v>
      </c>
      <c r="Q96" s="10">
        <f t="shared" si="8"/>
        <v>66.599999999999994</v>
      </c>
      <c r="R96" s="10">
        <f t="shared" si="9"/>
        <v>62.1</v>
      </c>
    </row>
    <row r="97" spans="2:18" ht="15.75" x14ac:dyDescent="0.25">
      <c r="B97" t="s">
        <v>124</v>
      </c>
      <c r="C97">
        <v>59.3</v>
      </c>
      <c r="D97">
        <v>59.3</v>
      </c>
      <c r="E97">
        <v>54.7</v>
      </c>
      <c r="F97">
        <v>60.3</v>
      </c>
      <c r="G97">
        <v>56</v>
      </c>
      <c r="M97" s="17" t="s">
        <v>124</v>
      </c>
      <c r="N97" s="11">
        <f t="shared" si="10"/>
        <v>61.8</v>
      </c>
      <c r="O97" s="10">
        <f t="shared" si="11"/>
        <v>61.8</v>
      </c>
      <c r="P97" s="10">
        <f t="shared" si="12"/>
        <v>57.2</v>
      </c>
      <c r="Q97" s="10">
        <f t="shared" si="8"/>
        <v>62.8</v>
      </c>
      <c r="R97" s="10">
        <f t="shared" si="9"/>
        <v>58.5</v>
      </c>
    </row>
    <row r="98" spans="2:18" ht="15.75" x14ac:dyDescent="0.25">
      <c r="B98" t="s">
        <v>125</v>
      </c>
      <c r="C98">
        <v>62.6</v>
      </c>
      <c r="D98">
        <v>62.6</v>
      </c>
      <c r="E98">
        <v>57.5</v>
      </c>
      <c r="F98">
        <v>63.6</v>
      </c>
      <c r="G98">
        <v>58.8</v>
      </c>
      <c r="M98" s="17" t="s">
        <v>125</v>
      </c>
      <c r="N98" s="11">
        <f t="shared" si="10"/>
        <v>65.099999999999994</v>
      </c>
      <c r="O98" s="10">
        <f t="shared" si="11"/>
        <v>65.099999999999994</v>
      </c>
      <c r="P98" s="10">
        <f t="shared" si="12"/>
        <v>60</v>
      </c>
      <c r="Q98" s="10">
        <f t="shared" si="8"/>
        <v>66.099999999999994</v>
      </c>
      <c r="R98" s="10">
        <f t="shared" si="9"/>
        <v>61.3</v>
      </c>
    </row>
    <row r="99" spans="2:18" ht="15.75" x14ac:dyDescent="0.25">
      <c r="B99" t="s">
        <v>126</v>
      </c>
      <c r="C99">
        <v>62.5</v>
      </c>
      <c r="D99">
        <v>62.5</v>
      </c>
      <c r="E99">
        <v>57.2</v>
      </c>
      <c r="F99">
        <v>63.5</v>
      </c>
      <c r="G99">
        <v>58.6</v>
      </c>
      <c r="M99" s="17" t="s">
        <v>126</v>
      </c>
      <c r="N99" s="11">
        <f t="shared" si="10"/>
        <v>65</v>
      </c>
      <c r="O99" s="10">
        <f t="shared" si="11"/>
        <v>65</v>
      </c>
      <c r="P99" s="10">
        <f t="shared" si="12"/>
        <v>59.7</v>
      </c>
      <c r="Q99" s="10">
        <f t="shared" si="8"/>
        <v>66</v>
      </c>
      <c r="R99" s="10">
        <f t="shared" si="9"/>
        <v>61.1</v>
      </c>
    </row>
    <row r="100" spans="2:18" ht="15.75" x14ac:dyDescent="0.25">
      <c r="B100" t="s">
        <v>127</v>
      </c>
      <c r="C100">
        <v>61.2</v>
      </c>
      <c r="D100">
        <v>61.2</v>
      </c>
      <c r="E100">
        <v>57.1</v>
      </c>
      <c r="F100">
        <v>62.2</v>
      </c>
      <c r="G100">
        <v>58.3</v>
      </c>
      <c r="M100" s="17" t="s">
        <v>127</v>
      </c>
      <c r="N100" s="11">
        <f t="shared" si="10"/>
        <v>63.7</v>
      </c>
      <c r="O100" s="10">
        <f t="shared" si="11"/>
        <v>63.7</v>
      </c>
      <c r="P100" s="10">
        <f t="shared" si="12"/>
        <v>59.6</v>
      </c>
      <c r="Q100" s="10">
        <f t="shared" ref="Q100:Q114" si="13">F100+2.5</f>
        <v>64.7</v>
      </c>
      <c r="R100" s="10">
        <f t="shared" ref="R100:R114" si="14">G100+2.5</f>
        <v>60.8</v>
      </c>
    </row>
    <row r="101" spans="2:18" ht="15.75" x14ac:dyDescent="0.25">
      <c r="B101" t="s">
        <v>128</v>
      </c>
      <c r="C101">
        <v>61.2</v>
      </c>
      <c r="D101">
        <v>61.2</v>
      </c>
      <c r="E101">
        <v>57.4</v>
      </c>
      <c r="F101">
        <v>62.2</v>
      </c>
      <c r="G101">
        <v>58.5</v>
      </c>
      <c r="M101" s="17" t="s">
        <v>128</v>
      </c>
      <c r="N101" s="11">
        <f t="shared" si="10"/>
        <v>63.7</v>
      </c>
      <c r="O101" s="10">
        <f t="shared" si="11"/>
        <v>63.7</v>
      </c>
      <c r="P101" s="10">
        <f t="shared" si="12"/>
        <v>59.9</v>
      </c>
      <c r="Q101" s="10">
        <f t="shared" si="13"/>
        <v>64.7</v>
      </c>
      <c r="R101" s="10">
        <f t="shared" si="14"/>
        <v>61</v>
      </c>
    </row>
    <row r="102" spans="2:18" ht="15.75" x14ac:dyDescent="0.25">
      <c r="B102" t="s">
        <v>129</v>
      </c>
      <c r="C102">
        <v>61.2</v>
      </c>
      <c r="D102">
        <v>61.3</v>
      </c>
      <c r="E102">
        <v>57.3</v>
      </c>
      <c r="F102">
        <v>62.2</v>
      </c>
      <c r="G102">
        <v>58.4</v>
      </c>
      <c r="M102" s="17" t="s">
        <v>129</v>
      </c>
      <c r="N102" s="11">
        <f t="shared" si="10"/>
        <v>63.7</v>
      </c>
      <c r="O102" s="10">
        <f t="shared" si="11"/>
        <v>63.8</v>
      </c>
      <c r="P102" s="10">
        <f t="shared" si="12"/>
        <v>59.8</v>
      </c>
      <c r="Q102" s="10">
        <f t="shared" si="13"/>
        <v>64.7</v>
      </c>
      <c r="R102" s="10">
        <f t="shared" si="14"/>
        <v>60.9</v>
      </c>
    </row>
    <row r="103" spans="2:18" ht="15.75" x14ac:dyDescent="0.25">
      <c r="B103" t="s">
        <v>130</v>
      </c>
      <c r="C103">
        <v>60.7</v>
      </c>
      <c r="D103">
        <v>60.7</v>
      </c>
      <c r="E103">
        <v>56.5</v>
      </c>
      <c r="F103">
        <v>61.6</v>
      </c>
      <c r="G103">
        <v>57.7</v>
      </c>
      <c r="M103" s="17" t="s">
        <v>130</v>
      </c>
      <c r="N103" s="11">
        <f t="shared" si="10"/>
        <v>63.2</v>
      </c>
      <c r="O103" s="10">
        <f t="shared" si="11"/>
        <v>63.2</v>
      </c>
      <c r="P103" s="10">
        <f t="shared" si="12"/>
        <v>59</v>
      </c>
      <c r="Q103" s="10">
        <f t="shared" si="13"/>
        <v>64.099999999999994</v>
      </c>
      <c r="R103" s="10">
        <f t="shared" si="14"/>
        <v>60.2</v>
      </c>
    </row>
    <row r="104" spans="2:18" ht="15.75" x14ac:dyDescent="0.25">
      <c r="B104" t="s">
        <v>131</v>
      </c>
      <c r="C104">
        <v>54.6</v>
      </c>
      <c r="D104">
        <v>54.6</v>
      </c>
      <c r="E104">
        <v>54.7</v>
      </c>
      <c r="F104">
        <v>55.2</v>
      </c>
      <c r="G104">
        <v>55.4</v>
      </c>
      <c r="M104" s="17" t="s">
        <v>131</v>
      </c>
      <c r="N104" s="11">
        <f t="shared" si="10"/>
        <v>57.1</v>
      </c>
      <c r="O104" s="10">
        <f t="shared" si="11"/>
        <v>57.1</v>
      </c>
      <c r="P104" s="10">
        <f t="shared" si="12"/>
        <v>57.2</v>
      </c>
      <c r="Q104" s="10">
        <f t="shared" si="13"/>
        <v>57.7</v>
      </c>
      <c r="R104" s="10">
        <f t="shared" si="14"/>
        <v>57.9</v>
      </c>
    </row>
    <row r="105" spans="2:18" ht="15.75" x14ac:dyDescent="0.25">
      <c r="B105" t="s">
        <v>132</v>
      </c>
      <c r="C105">
        <v>62.2</v>
      </c>
      <c r="D105">
        <v>62.3</v>
      </c>
      <c r="E105">
        <v>52.8</v>
      </c>
      <c r="F105">
        <v>62.5</v>
      </c>
      <c r="G105">
        <v>53.7</v>
      </c>
      <c r="M105" s="17" t="s">
        <v>132</v>
      </c>
      <c r="N105" s="11">
        <f t="shared" si="10"/>
        <v>64.7</v>
      </c>
      <c r="O105" s="10">
        <f t="shared" si="11"/>
        <v>64.8</v>
      </c>
      <c r="P105" s="10">
        <f t="shared" si="12"/>
        <v>55.3</v>
      </c>
      <c r="Q105" s="10">
        <f t="shared" si="13"/>
        <v>65</v>
      </c>
      <c r="R105" s="10">
        <f t="shared" si="14"/>
        <v>56.2</v>
      </c>
    </row>
    <row r="106" spans="2:18" ht="15.75" x14ac:dyDescent="0.25">
      <c r="B106" t="s">
        <v>133</v>
      </c>
      <c r="C106">
        <v>62.9</v>
      </c>
      <c r="D106">
        <v>63</v>
      </c>
      <c r="E106">
        <v>52.5</v>
      </c>
      <c r="F106">
        <v>63.2</v>
      </c>
      <c r="G106">
        <v>53.4</v>
      </c>
      <c r="M106" s="17" t="s">
        <v>133</v>
      </c>
      <c r="N106" s="11">
        <f t="shared" si="10"/>
        <v>65.400000000000006</v>
      </c>
      <c r="O106" s="10">
        <f t="shared" si="11"/>
        <v>65.5</v>
      </c>
      <c r="P106" s="10">
        <f t="shared" si="12"/>
        <v>55</v>
      </c>
      <c r="Q106" s="10">
        <f t="shared" si="13"/>
        <v>65.7</v>
      </c>
      <c r="R106" s="10">
        <f t="shared" si="14"/>
        <v>55.9</v>
      </c>
    </row>
    <row r="107" spans="2:18" ht="15.75" x14ac:dyDescent="0.25">
      <c r="B107" t="s">
        <v>134</v>
      </c>
      <c r="C107">
        <v>63.3</v>
      </c>
      <c r="D107">
        <v>63.4</v>
      </c>
      <c r="E107">
        <v>52.5</v>
      </c>
      <c r="F107">
        <v>63.6</v>
      </c>
      <c r="G107">
        <v>53.4</v>
      </c>
      <c r="M107" s="17" t="s">
        <v>134</v>
      </c>
      <c r="N107" s="11">
        <f t="shared" si="10"/>
        <v>65.8</v>
      </c>
      <c r="O107" s="10">
        <f t="shared" si="11"/>
        <v>65.900000000000006</v>
      </c>
      <c r="P107" s="10">
        <f t="shared" si="12"/>
        <v>55</v>
      </c>
      <c r="Q107" s="10">
        <f t="shared" si="13"/>
        <v>66.099999999999994</v>
      </c>
      <c r="R107" s="10">
        <f t="shared" si="14"/>
        <v>55.9</v>
      </c>
    </row>
    <row r="108" spans="2:18" ht="15.75" x14ac:dyDescent="0.25">
      <c r="B108" t="s">
        <v>135</v>
      </c>
      <c r="C108">
        <v>60</v>
      </c>
      <c r="D108">
        <v>60</v>
      </c>
      <c r="E108">
        <v>57.9</v>
      </c>
      <c r="F108">
        <v>60.4</v>
      </c>
      <c r="G108">
        <v>58.7</v>
      </c>
      <c r="M108" s="17" t="s">
        <v>135</v>
      </c>
      <c r="N108" s="11">
        <f t="shared" si="10"/>
        <v>62.5</v>
      </c>
      <c r="O108" s="10">
        <f t="shared" si="11"/>
        <v>62.5</v>
      </c>
      <c r="P108" s="10">
        <f t="shared" si="12"/>
        <v>60.4</v>
      </c>
      <c r="Q108" s="10">
        <f t="shared" si="13"/>
        <v>62.9</v>
      </c>
      <c r="R108" s="10">
        <f t="shared" si="14"/>
        <v>61.2</v>
      </c>
    </row>
    <row r="109" spans="2:18" ht="15.75" x14ac:dyDescent="0.25">
      <c r="B109" t="s">
        <v>136</v>
      </c>
      <c r="C109">
        <v>65.8</v>
      </c>
      <c r="D109">
        <v>65.8</v>
      </c>
      <c r="E109">
        <v>65.3</v>
      </c>
      <c r="F109">
        <v>66.3</v>
      </c>
      <c r="G109">
        <v>66.099999999999994</v>
      </c>
      <c r="M109" s="17" t="s">
        <v>136</v>
      </c>
      <c r="N109" s="11">
        <f t="shared" si="10"/>
        <v>68.3</v>
      </c>
      <c r="O109" s="10">
        <f t="shared" si="11"/>
        <v>68.3</v>
      </c>
      <c r="P109" s="10">
        <f t="shared" si="12"/>
        <v>67.8</v>
      </c>
      <c r="Q109" s="10">
        <f t="shared" si="13"/>
        <v>68.8</v>
      </c>
      <c r="R109" s="10">
        <f t="shared" si="14"/>
        <v>68.599999999999994</v>
      </c>
    </row>
    <row r="110" spans="2:18" ht="15.75" x14ac:dyDescent="0.25">
      <c r="B110" t="s">
        <v>137</v>
      </c>
      <c r="C110">
        <v>73.099999999999994</v>
      </c>
      <c r="D110">
        <v>73.099999999999994</v>
      </c>
      <c r="E110">
        <v>73.099999999999994</v>
      </c>
      <c r="F110">
        <v>73.900000000000006</v>
      </c>
      <c r="G110">
        <v>73.8</v>
      </c>
      <c r="M110" s="17" t="s">
        <v>137</v>
      </c>
      <c r="N110" s="11">
        <f t="shared" si="10"/>
        <v>75.599999999999994</v>
      </c>
      <c r="O110" s="10">
        <f t="shared" si="11"/>
        <v>75.599999999999994</v>
      </c>
      <c r="P110" s="10">
        <f t="shared" si="12"/>
        <v>75.599999999999994</v>
      </c>
      <c r="Q110" s="10">
        <f t="shared" si="13"/>
        <v>76.400000000000006</v>
      </c>
      <c r="R110" s="10">
        <f t="shared" si="14"/>
        <v>76.3</v>
      </c>
    </row>
    <row r="111" spans="2:18" ht="15.75" x14ac:dyDescent="0.25">
      <c r="B111" t="s">
        <v>138</v>
      </c>
      <c r="C111">
        <v>78.5</v>
      </c>
      <c r="D111">
        <v>78.599999999999994</v>
      </c>
      <c r="E111">
        <v>78.5</v>
      </c>
      <c r="F111">
        <v>79.400000000000006</v>
      </c>
      <c r="G111">
        <v>79.3</v>
      </c>
      <c r="M111" s="17" t="s">
        <v>138</v>
      </c>
      <c r="N111" s="11">
        <f t="shared" si="10"/>
        <v>81</v>
      </c>
      <c r="O111" s="10">
        <f t="shared" si="11"/>
        <v>81.099999999999994</v>
      </c>
      <c r="P111" s="10">
        <f t="shared" si="12"/>
        <v>81</v>
      </c>
      <c r="Q111" s="10">
        <f t="shared" si="13"/>
        <v>81.900000000000006</v>
      </c>
      <c r="R111" s="10">
        <f t="shared" si="14"/>
        <v>81.8</v>
      </c>
    </row>
    <row r="112" spans="2:18" ht="15.75" x14ac:dyDescent="0.25">
      <c r="B112" t="s">
        <v>139</v>
      </c>
      <c r="C112">
        <v>72.2</v>
      </c>
      <c r="D112">
        <v>72.2</v>
      </c>
      <c r="E112">
        <v>72.2</v>
      </c>
      <c r="F112">
        <v>73</v>
      </c>
      <c r="G112">
        <v>73</v>
      </c>
      <c r="M112" s="17" t="s">
        <v>139</v>
      </c>
      <c r="N112" s="11">
        <f t="shared" si="10"/>
        <v>74.7</v>
      </c>
      <c r="O112" s="10">
        <f t="shared" si="11"/>
        <v>74.7</v>
      </c>
      <c r="P112" s="10">
        <f t="shared" si="12"/>
        <v>74.7</v>
      </c>
      <c r="Q112" s="10">
        <f t="shared" si="13"/>
        <v>75.5</v>
      </c>
      <c r="R112" s="10">
        <f t="shared" si="14"/>
        <v>75.5</v>
      </c>
    </row>
    <row r="113" spans="2:18" ht="15.75" x14ac:dyDescent="0.25">
      <c r="B113" t="s">
        <v>140</v>
      </c>
      <c r="C113">
        <v>67.400000000000006</v>
      </c>
      <c r="D113">
        <v>67.5</v>
      </c>
      <c r="E113">
        <v>67.5</v>
      </c>
      <c r="F113">
        <v>68.3</v>
      </c>
      <c r="G113">
        <v>68.2</v>
      </c>
      <c r="M113" s="17" t="s">
        <v>140</v>
      </c>
      <c r="N113" s="11">
        <f t="shared" si="10"/>
        <v>69.900000000000006</v>
      </c>
      <c r="O113" s="10">
        <f t="shared" si="11"/>
        <v>70</v>
      </c>
      <c r="P113" s="10">
        <f t="shared" si="12"/>
        <v>70</v>
      </c>
      <c r="Q113" s="10">
        <f t="shared" si="13"/>
        <v>70.8</v>
      </c>
      <c r="R113" s="10">
        <f t="shared" si="14"/>
        <v>70.7</v>
      </c>
    </row>
    <row r="114" spans="2:18" ht="15.75" x14ac:dyDescent="0.25">
      <c r="B114" t="s">
        <v>141</v>
      </c>
      <c r="C114">
        <v>65.3</v>
      </c>
      <c r="D114">
        <v>65.400000000000006</v>
      </c>
      <c r="E114">
        <v>65.3</v>
      </c>
      <c r="F114">
        <v>66</v>
      </c>
      <c r="G114">
        <v>66.099999999999994</v>
      </c>
      <c r="M114" s="17" t="s">
        <v>141</v>
      </c>
      <c r="N114" s="11">
        <f t="shared" si="10"/>
        <v>67.8</v>
      </c>
      <c r="O114" s="10">
        <f t="shared" si="11"/>
        <v>67.900000000000006</v>
      </c>
      <c r="P114" s="10">
        <f t="shared" si="12"/>
        <v>67.8</v>
      </c>
      <c r="Q114" s="10">
        <f t="shared" si="13"/>
        <v>68.5</v>
      </c>
      <c r="R114" s="10">
        <f t="shared" si="14"/>
        <v>68.599999999999994</v>
      </c>
    </row>
    <row r="115" spans="2:18" ht="15.75" x14ac:dyDescent="0.25">
      <c r="B115" t="s">
        <v>154</v>
      </c>
      <c r="C115">
        <v>53.4</v>
      </c>
      <c r="D115">
        <v>53.5</v>
      </c>
      <c r="E115">
        <v>53.1</v>
      </c>
      <c r="F115">
        <v>53.7</v>
      </c>
      <c r="G115">
        <v>53.7</v>
      </c>
      <c r="M115" s="17" t="s">
        <v>154</v>
      </c>
      <c r="N115" s="11">
        <f t="shared" si="10"/>
        <v>55.9</v>
      </c>
      <c r="O115" s="10">
        <f t="shared" ref="O115:O178" si="15">D115+2.5</f>
        <v>56</v>
      </c>
      <c r="P115" s="10">
        <f t="shared" ref="P115:P178" si="16">E115+2.5</f>
        <v>55.6</v>
      </c>
      <c r="Q115" s="10">
        <f t="shared" ref="Q115:Q178" si="17">F115+2.5</f>
        <v>56.2</v>
      </c>
      <c r="R115" s="10">
        <f t="shared" ref="R115:R178" si="18">G115+2.5</f>
        <v>56.2</v>
      </c>
    </row>
    <row r="116" spans="2:18" ht="15.75" x14ac:dyDescent="0.25">
      <c r="B116" t="s">
        <v>155</v>
      </c>
      <c r="C116">
        <v>52.7</v>
      </c>
      <c r="D116">
        <v>52.8</v>
      </c>
      <c r="E116">
        <v>52.7</v>
      </c>
      <c r="F116">
        <v>53</v>
      </c>
      <c r="G116">
        <v>53.4</v>
      </c>
      <c r="M116" s="17" t="s">
        <v>155</v>
      </c>
      <c r="N116" s="11">
        <f t="shared" si="10"/>
        <v>55.2</v>
      </c>
      <c r="O116" s="10">
        <f t="shared" si="15"/>
        <v>55.3</v>
      </c>
      <c r="P116" s="10">
        <f t="shared" si="16"/>
        <v>55.2</v>
      </c>
      <c r="Q116" s="10">
        <f t="shared" si="17"/>
        <v>55.5</v>
      </c>
      <c r="R116" s="10">
        <f t="shared" si="18"/>
        <v>55.9</v>
      </c>
    </row>
    <row r="117" spans="2:18" ht="15.75" x14ac:dyDescent="0.25">
      <c r="B117" t="s">
        <v>156</v>
      </c>
      <c r="C117">
        <v>53.7</v>
      </c>
      <c r="D117">
        <v>53.8</v>
      </c>
      <c r="E117">
        <v>53.8</v>
      </c>
      <c r="F117">
        <v>54.1</v>
      </c>
      <c r="G117">
        <v>54.6</v>
      </c>
      <c r="M117" s="17" t="s">
        <v>156</v>
      </c>
      <c r="N117" s="11">
        <f t="shared" si="10"/>
        <v>56.2</v>
      </c>
      <c r="O117" s="10">
        <f t="shared" si="15"/>
        <v>56.3</v>
      </c>
      <c r="P117" s="10">
        <f t="shared" si="16"/>
        <v>56.3</v>
      </c>
      <c r="Q117" s="10">
        <f t="shared" si="17"/>
        <v>56.6</v>
      </c>
      <c r="R117" s="10">
        <f t="shared" si="18"/>
        <v>57.1</v>
      </c>
    </row>
    <row r="118" spans="2:18" ht="15.75" x14ac:dyDescent="0.25">
      <c r="B118" t="s">
        <v>157</v>
      </c>
      <c r="C118">
        <v>55.2</v>
      </c>
      <c r="D118">
        <v>55.3</v>
      </c>
      <c r="E118">
        <v>55.3</v>
      </c>
      <c r="F118">
        <v>55.6</v>
      </c>
      <c r="G118">
        <v>56.1</v>
      </c>
      <c r="M118" s="17" t="s">
        <v>157</v>
      </c>
      <c r="N118" s="11">
        <f t="shared" si="10"/>
        <v>57.7</v>
      </c>
      <c r="O118" s="10">
        <f t="shared" si="15"/>
        <v>57.8</v>
      </c>
      <c r="P118" s="10">
        <f t="shared" si="16"/>
        <v>57.8</v>
      </c>
      <c r="Q118" s="10">
        <f t="shared" si="17"/>
        <v>58.1</v>
      </c>
      <c r="R118" s="10">
        <f t="shared" si="18"/>
        <v>58.6</v>
      </c>
    </row>
    <row r="119" spans="2:18" ht="15.75" x14ac:dyDescent="0.25">
      <c r="B119" t="s">
        <v>158</v>
      </c>
      <c r="C119">
        <v>52.9</v>
      </c>
      <c r="D119">
        <v>53</v>
      </c>
      <c r="E119">
        <v>53.2</v>
      </c>
      <c r="F119">
        <v>53</v>
      </c>
      <c r="G119">
        <v>54</v>
      </c>
      <c r="M119" s="17" t="s">
        <v>158</v>
      </c>
      <c r="N119" s="11">
        <f t="shared" si="10"/>
        <v>55.4</v>
      </c>
      <c r="O119" s="10">
        <f t="shared" si="15"/>
        <v>55.5</v>
      </c>
      <c r="P119" s="10">
        <f t="shared" si="16"/>
        <v>55.7</v>
      </c>
      <c r="Q119" s="10">
        <f t="shared" si="17"/>
        <v>55.5</v>
      </c>
      <c r="R119" s="10">
        <f t="shared" si="18"/>
        <v>56.5</v>
      </c>
    </row>
    <row r="120" spans="2:18" ht="15.75" x14ac:dyDescent="0.25">
      <c r="B120" t="s">
        <v>159</v>
      </c>
      <c r="C120">
        <v>54.2</v>
      </c>
      <c r="D120">
        <v>54.3</v>
      </c>
      <c r="E120">
        <v>54.5</v>
      </c>
      <c r="F120">
        <v>54.2</v>
      </c>
      <c r="G120">
        <v>55.2</v>
      </c>
      <c r="M120" s="17" t="s">
        <v>159</v>
      </c>
      <c r="N120" s="11">
        <f t="shared" si="10"/>
        <v>56.7</v>
      </c>
      <c r="O120" s="10">
        <f t="shared" si="15"/>
        <v>56.8</v>
      </c>
      <c r="P120" s="10">
        <f t="shared" si="16"/>
        <v>57</v>
      </c>
      <c r="Q120" s="10">
        <f t="shared" si="17"/>
        <v>56.7</v>
      </c>
      <c r="R120" s="10">
        <f t="shared" si="18"/>
        <v>57.7</v>
      </c>
    </row>
    <row r="121" spans="2:18" ht="15.75" x14ac:dyDescent="0.25">
      <c r="B121" t="s">
        <v>160</v>
      </c>
      <c r="C121">
        <v>59.5</v>
      </c>
      <c r="D121">
        <v>59.6</v>
      </c>
      <c r="E121">
        <v>59.6</v>
      </c>
      <c r="F121">
        <v>59.8</v>
      </c>
      <c r="G121">
        <v>60.3</v>
      </c>
      <c r="M121" s="17" t="s">
        <v>160</v>
      </c>
      <c r="N121" s="11">
        <f t="shared" si="10"/>
        <v>62</v>
      </c>
      <c r="O121" s="10">
        <f t="shared" si="15"/>
        <v>62.1</v>
      </c>
      <c r="P121" s="10">
        <f t="shared" si="16"/>
        <v>62.1</v>
      </c>
      <c r="Q121" s="10">
        <f t="shared" si="17"/>
        <v>62.3</v>
      </c>
      <c r="R121" s="10">
        <f t="shared" si="18"/>
        <v>62.8</v>
      </c>
    </row>
    <row r="122" spans="2:18" ht="15.75" x14ac:dyDescent="0.25">
      <c r="B122" t="s">
        <v>161</v>
      </c>
      <c r="C122">
        <v>53.8</v>
      </c>
      <c r="D122">
        <v>53.9</v>
      </c>
      <c r="E122">
        <v>53.1</v>
      </c>
      <c r="F122">
        <v>53.8</v>
      </c>
      <c r="G122">
        <v>53.8</v>
      </c>
      <c r="M122" s="17" t="s">
        <v>161</v>
      </c>
      <c r="N122" s="11">
        <f t="shared" si="10"/>
        <v>56.3</v>
      </c>
      <c r="O122" s="10">
        <f t="shared" si="15"/>
        <v>56.4</v>
      </c>
      <c r="P122" s="10">
        <f t="shared" si="16"/>
        <v>55.6</v>
      </c>
      <c r="Q122" s="10">
        <f t="shared" si="17"/>
        <v>56.3</v>
      </c>
      <c r="R122" s="10">
        <f t="shared" si="18"/>
        <v>56.3</v>
      </c>
    </row>
    <row r="123" spans="2:18" ht="15.75" x14ac:dyDescent="0.25">
      <c r="B123" t="s">
        <v>162</v>
      </c>
      <c r="C123">
        <v>53.8</v>
      </c>
      <c r="D123">
        <v>53.8</v>
      </c>
      <c r="E123">
        <v>53</v>
      </c>
      <c r="F123">
        <v>53.7</v>
      </c>
      <c r="G123">
        <v>53.7</v>
      </c>
      <c r="M123" s="17" t="s">
        <v>162</v>
      </c>
      <c r="N123" s="11">
        <f t="shared" si="10"/>
        <v>56.3</v>
      </c>
      <c r="O123" s="10">
        <f t="shared" si="15"/>
        <v>56.3</v>
      </c>
      <c r="P123" s="10">
        <f t="shared" si="16"/>
        <v>55.5</v>
      </c>
      <c r="Q123" s="10">
        <f t="shared" si="17"/>
        <v>56.2</v>
      </c>
      <c r="R123" s="10">
        <f t="shared" si="18"/>
        <v>56.2</v>
      </c>
    </row>
    <row r="124" spans="2:18" ht="15.75" x14ac:dyDescent="0.25">
      <c r="B124" t="s">
        <v>163</v>
      </c>
      <c r="C124">
        <v>59.5</v>
      </c>
      <c r="D124">
        <v>59.5</v>
      </c>
      <c r="E124">
        <v>59.4</v>
      </c>
      <c r="F124">
        <v>59.9</v>
      </c>
      <c r="G124">
        <v>60.1</v>
      </c>
      <c r="M124" s="17" t="s">
        <v>163</v>
      </c>
      <c r="N124" s="11">
        <f t="shared" si="10"/>
        <v>62</v>
      </c>
      <c r="O124" s="10">
        <f t="shared" si="15"/>
        <v>62</v>
      </c>
      <c r="P124" s="10">
        <f t="shared" si="16"/>
        <v>61.9</v>
      </c>
      <c r="Q124" s="10">
        <f t="shared" si="17"/>
        <v>62.4</v>
      </c>
      <c r="R124" s="10">
        <f t="shared" si="18"/>
        <v>62.6</v>
      </c>
    </row>
    <row r="125" spans="2:18" ht="15.75" x14ac:dyDescent="0.25">
      <c r="B125" t="s">
        <v>164</v>
      </c>
      <c r="C125">
        <v>59.7</v>
      </c>
      <c r="D125">
        <v>59.8</v>
      </c>
      <c r="E125">
        <v>59.5</v>
      </c>
      <c r="F125">
        <v>60.1</v>
      </c>
      <c r="G125">
        <v>60.2</v>
      </c>
      <c r="M125" s="17" t="s">
        <v>164</v>
      </c>
      <c r="N125" s="11">
        <f t="shared" si="10"/>
        <v>62.2</v>
      </c>
      <c r="O125" s="10">
        <f t="shared" si="15"/>
        <v>62.3</v>
      </c>
      <c r="P125" s="10">
        <f t="shared" si="16"/>
        <v>62</v>
      </c>
      <c r="Q125" s="10">
        <f t="shared" si="17"/>
        <v>62.6</v>
      </c>
      <c r="R125" s="10">
        <f t="shared" si="18"/>
        <v>62.7</v>
      </c>
    </row>
    <row r="126" spans="2:18" ht="15.75" x14ac:dyDescent="0.25">
      <c r="B126" t="s">
        <v>165</v>
      </c>
      <c r="C126">
        <v>61.7</v>
      </c>
      <c r="D126">
        <v>61.7</v>
      </c>
      <c r="E126">
        <v>61.5</v>
      </c>
      <c r="F126">
        <v>62.1</v>
      </c>
      <c r="G126">
        <v>62.1</v>
      </c>
      <c r="M126" s="17" t="s">
        <v>165</v>
      </c>
      <c r="N126" s="11">
        <f t="shared" si="10"/>
        <v>64.2</v>
      </c>
      <c r="O126" s="10">
        <f t="shared" si="15"/>
        <v>64.2</v>
      </c>
      <c r="P126" s="10">
        <f t="shared" si="16"/>
        <v>64</v>
      </c>
      <c r="Q126" s="10">
        <f t="shared" si="17"/>
        <v>64.599999999999994</v>
      </c>
      <c r="R126" s="10">
        <f t="shared" si="18"/>
        <v>64.599999999999994</v>
      </c>
    </row>
    <row r="127" spans="2:18" ht="15.75" x14ac:dyDescent="0.25">
      <c r="B127" t="s">
        <v>166</v>
      </c>
      <c r="C127">
        <v>61.3</v>
      </c>
      <c r="D127">
        <v>61.4</v>
      </c>
      <c r="E127">
        <v>61.1</v>
      </c>
      <c r="F127">
        <v>61.8</v>
      </c>
      <c r="G127">
        <v>61.8</v>
      </c>
      <c r="M127" s="17" t="s">
        <v>166</v>
      </c>
      <c r="N127" s="11">
        <f t="shared" si="10"/>
        <v>63.8</v>
      </c>
      <c r="O127" s="10">
        <f t="shared" si="15"/>
        <v>63.9</v>
      </c>
      <c r="P127" s="10">
        <f t="shared" si="16"/>
        <v>63.6</v>
      </c>
      <c r="Q127" s="10">
        <f t="shared" si="17"/>
        <v>64.3</v>
      </c>
      <c r="R127" s="10">
        <f t="shared" si="18"/>
        <v>64.3</v>
      </c>
    </row>
    <row r="128" spans="2:18" ht="15.75" x14ac:dyDescent="0.25">
      <c r="B128" t="s">
        <v>167</v>
      </c>
      <c r="C128">
        <v>61.4</v>
      </c>
      <c r="D128">
        <v>61.5</v>
      </c>
      <c r="E128">
        <v>61.3</v>
      </c>
      <c r="F128">
        <v>61.9</v>
      </c>
      <c r="G128">
        <v>62</v>
      </c>
      <c r="M128" s="17" t="s">
        <v>167</v>
      </c>
      <c r="N128" s="11">
        <f t="shared" si="10"/>
        <v>63.9</v>
      </c>
      <c r="O128" s="10">
        <f t="shared" si="15"/>
        <v>64</v>
      </c>
      <c r="P128" s="10">
        <f t="shared" si="16"/>
        <v>63.8</v>
      </c>
      <c r="Q128" s="10">
        <f t="shared" si="17"/>
        <v>64.400000000000006</v>
      </c>
      <c r="R128" s="10">
        <f t="shared" si="18"/>
        <v>64.5</v>
      </c>
    </row>
    <row r="129" spans="2:18" ht="15.75" x14ac:dyDescent="0.25">
      <c r="B129" t="s">
        <v>168</v>
      </c>
      <c r="C129">
        <v>58.4</v>
      </c>
      <c r="D129">
        <v>58.4</v>
      </c>
      <c r="E129">
        <v>58.2</v>
      </c>
      <c r="F129">
        <v>58.8</v>
      </c>
      <c r="G129">
        <v>58.9</v>
      </c>
      <c r="M129" s="17" t="s">
        <v>168</v>
      </c>
      <c r="N129" s="11">
        <f t="shared" si="10"/>
        <v>60.9</v>
      </c>
      <c r="O129" s="10">
        <f t="shared" si="15"/>
        <v>60.9</v>
      </c>
      <c r="P129" s="10">
        <f t="shared" si="16"/>
        <v>60.7</v>
      </c>
      <c r="Q129" s="10">
        <f t="shared" si="17"/>
        <v>61.3</v>
      </c>
      <c r="R129" s="10">
        <f t="shared" si="18"/>
        <v>61.4</v>
      </c>
    </row>
    <row r="130" spans="2:18" ht="15.75" x14ac:dyDescent="0.25">
      <c r="B130" t="s">
        <v>169</v>
      </c>
      <c r="C130">
        <v>56</v>
      </c>
      <c r="D130">
        <v>56</v>
      </c>
      <c r="E130">
        <v>55.8</v>
      </c>
      <c r="F130">
        <v>56.5</v>
      </c>
      <c r="G130">
        <v>56.6</v>
      </c>
      <c r="M130" s="17" t="s">
        <v>169</v>
      </c>
      <c r="N130" s="11">
        <f t="shared" si="10"/>
        <v>58.5</v>
      </c>
      <c r="O130" s="10">
        <f t="shared" si="15"/>
        <v>58.5</v>
      </c>
      <c r="P130" s="10">
        <f t="shared" si="16"/>
        <v>58.3</v>
      </c>
      <c r="Q130" s="10">
        <f t="shared" si="17"/>
        <v>59</v>
      </c>
      <c r="R130" s="10">
        <f t="shared" si="18"/>
        <v>59.1</v>
      </c>
    </row>
    <row r="131" spans="2:18" ht="15.75" x14ac:dyDescent="0.25">
      <c r="B131" t="s">
        <v>170</v>
      </c>
      <c r="C131">
        <v>56.4</v>
      </c>
      <c r="D131">
        <v>56.5</v>
      </c>
      <c r="E131">
        <v>53.3</v>
      </c>
      <c r="F131">
        <v>57.2</v>
      </c>
      <c r="G131">
        <v>54</v>
      </c>
      <c r="M131" s="17" t="s">
        <v>170</v>
      </c>
      <c r="N131" s="11">
        <f t="shared" si="10"/>
        <v>58.9</v>
      </c>
      <c r="O131" s="10">
        <f t="shared" si="15"/>
        <v>59</v>
      </c>
      <c r="P131" s="10">
        <f t="shared" si="16"/>
        <v>55.8</v>
      </c>
      <c r="Q131" s="10">
        <f t="shared" si="17"/>
        <v>59.7</v>
      </c>
      <c r="R131" s="10">
        <f t="shared" si="18"/>
        <v>56.5</v>
      </c>
    </row>
    <row r="132" spans="2:18" ht="15.75" x14ac:dyDescent="0.25">
      <c r="B132" t="s">
        <v>171</v>
      </c>
      <c r="C132">
        <v>56.2</v>
      </c>
      <c r="D132">
        <v>56.2</v>
      </c>
      <c r="E132">
        <v>52.6</v>
      </c>
      <c r="F132">
        <v>57</v>
      </c>
      <c r="G132">
        <v>53.3</v>
      </c>
      <c r="M132" s="17" t="s">
        <v>171</v>
      </c>
      <c r="N132" s="11">
        <f t="shared" si="10"/>
        <v>58.7</v>
      </c>
      <c r="O132" s="10">
        <f t="shared" si="15"/>
        <v>58.7</v>
      </c>
      <c r="P132" s="10">
        <f t="shared" si="16"/>
        <v>55.1</v>
      </c>
      <c r="Q132" s="10">
        <f t="shared" si="17"/>
        <v>59.5</v>
      </c>
      <c r="R132" s="10">
        <f t="shared" si="18"/>
        <v>55.8</v>
      </c>
    </row>
    <row r="133" spans="2:18" ht="15.75" x14ac:dyDescent="0.25">
      <c r="B133" t="s">
        <v>172</v>
      </c>
      <c r="C133">
        <v>56.3</v>
      </c>
      <c r="D133">
        <v>56.3</v>
      </c>
      <c r="E133">
        <v>52.7</v>
      </c>
      <c r="F133">
        <v>57.1</v>
      </c>
      <c r="G133">
        <v>53.5</v>
      </c>
      <c r="M133" s="17" t="s">
        <v>172</v>
      </c>
      <c r="N133" s="11">
        <f t="shared" si="10"/>
        <v>58.8</v>
      </c>
      <c r="O133" s="10">
        <f t="shared" si="15"/>
        <v>58.8</v>
      </c>
      <c r="P133" s="10">
        <f t="shared" si="16"/>
        <v>55.2</v>
      </c>
      <c r="Q133" s="10">
        <f t="shared" si="17"/>
        <v>59.6</v>
      </c>
      <c r="R133" s="10">
        <f t="shared" si="18"/>
        <v>56</v>
      </c>
    </row>
    <row r="134" spans="2:18" ht="15.75" x14ac:dyDescent="0.25">
      <c r="B134" t="s">
        <v>173</v>
      </c>
      <c r="C134">
        <v>56.1</v>
      </c>
      <c r="D134">
        <v>56.1</v>
      </c>
      <c r="E134">
        <v>52.2</v>
      </c>
      <c r="F134">
        <v>56.9</v>
      </c>
      <c r="G134">
        <v>52.9</v>
      </c>
      <c r="M134" s="17" t="s">
        <v>173</v>
      </c>
      <c r="N134" s="11">
        <f t="shared" si="10"/>
        <v>58.6</v>
      </c>
      <c r="O134" s="10">
        <f t="shared" si="15"/>
        <v>58.6</v>
      </c>
      <c r="P134" s="10">
        <f t="shared" si="16"/>
        <v>54.7</v>
      </c>
      <c r="Q134" s="10">
        <f t="shared" si="17"/>
        <v>59.4</v>
      </c>
      <c r="R134" s="10">
        <f t="shared" si="18"/>
        <v>55.4</v>
      </c>
    </row>
    <row r="135" spans="2:18" ht="15.75" x14ac:dyDescent="0.25">
      <c r="B135" t="s">
        <v>174</v>
      </c>
      <c r="C135">
        <v>56.1</v>
      </c>
      <c r="D135">
        <v>56.2</v>
      </c>
      <c r="E135">
        <v>52.5</v>
      </c>
      <c r="F135">
        <v>57</v>
      </c>
      <c r="G135">
        <v>53.2</v>
      </c>
      <c r="M135" s="17" t="s">
        <v>174</v>
      </c>
      <c r="N135" s="11">
        <f t="shared" si="10"/>
        <v>58.6</v>
      </c>
      <c r="O135" s="10">
        <f t="shared" si="15"/>
        <v>58.7</v>
      </c>
      <c r="P135" s="10">
        <f t="shared" si="16"/>
        <v>55</v>
      </c>
      <c r="Q135" s="10">
        <f t="shared" si="17"/>
        <v>59.5</v>
      </c>
      <c r="R135" s="10">
        <f t="shared" si="18"/>
        <v>55.7</v>
      </c>
    </row>
    <row r="136" spans="2:18" ht="15.75" x14ac:dyDescent="0.25">
      <c r="B136" t="s">
        <v>175</v>
      </c>
      <c r="C136">
        <v>56</v>
      </c>
      <c r="D136">
        <v>56.1</v>
      </c>
      <c r="E136">
        <v>52.3</v>
      </c>
      <c r="F136">
        <v>56.9</v>
      </c>
      <c r="G136">
        <v>53.1</v>
      </c>
      <c r="M136" s="17" t="s">
        <v>175</v>
      </c>
      <c r="N136" s="11">
        <f t="shared" si="10"/>
        <v>58.5</v>
      </c>
      <c r="O136" s="10">
        <f t="shared" si="15"/>
        <v>58.6</v>
      </c>
      <c r="P136" s="10">
        <f t="shared" si="16"/>
        <v>54.8</v>
      </c>
      <c r="Q136" s="10">
        <f t="shared" si="17"/>
        <v>59.4</v>
      </c>
      <c r="R136" s="10">
        <f t="shared" si="18"/>
        <v>55.6</v>
      </c>
    </row>
    <row r="137" spans="2:18" ht="15.75" x14ac:dyDescent="0.25">
      <c r="B137" t="s">
        <v>176</v>
      </c>
      <c r="C137">
        <v>56.2</v>
      </c>
      <c r="D137">
        <v>56.3</v>
      </c>
      <c r="E137">
        <v>52.5</v>
      </c>
      <c r="F137">
        <v>57.1</v>
      </c>
      <c r="G137">
        <v>53.3</v>
      </c>
      <c r="M137" s="17" t="s">
        <v>176</v>
      </c>
      <c r="N137" s="11">
        <f t="shared" si="10"/>
        <v>58.7</v>
      </c>
      <c r="O137" s="10">
        <f t="shared" si="15"/>
        <v>58.8</v>
      </c>
      <c r="P137" s="10">
        <f t="shared" si="16"/>
        <v>55</v>
      </c>
      <c r="Q137" s="10">
        <f t="shared" si="17"/>
        <v>59.6</v>
      </c>
      <c r="R137" s="10">
        <f t="shared" si="18"/>
        <v>55.8</v>
      </c>
    </row>
    <row r="138" spans="2:18" ht="15.75" x14ac:dyDescent="0.25">
      <c r="B138" t="s">
        <v>177</v>
      </c>
      <c r="C138">
        <v>62.8</v>
      </c>
      <c r="D138">
        <v>62.9</v>
      </c>
      <c r="E138">
        <v>59.8</v>
      </c>
      <c r="F138">
        <v>63.2</v>
      </c>
      <c r="G138">
        <v>60.6</v>
      </c>
      <c r="M138" s="17" t="s">
        <v>177</v>
      </c>
      <c r="N138" s="11">
        <f t="shared" si="10"/>
        <v>65.3</v>
      </c>
      <c r="O138" s="10">
        <f t="shared" si="15"/>
        <v>65.400000000000006</v>
      </c>
      <c r="P138" s="10">
        <f t="shared" si="16"/>
        <v>62.3</v>
      </c>
      <c r="Q138" s="10">
        <f t="shared" si="17"/>
        <v>65.7</v>
      </c>
      <c r="R138" s="10">
        <f t="shared" si="18"/>
        <v>63.1</v>
      </c>
    </row>
    <row r="139" spans="2:18" ht="15.75" x14ac:dyDescent="0.25">
      <c r="B139" t="s">
        <v>178</v>
      </c>
      <c r="C139">
        <v>62.7</v>
      </c>
      <c r="D139">
        <v>62.8</v>
      </c>
      <c r="E139">
        <v>59.7</v>
      </c>
      <c r="F139">
        <v>63.1</v>
      </c>
      <c r="G139">
        <v>60.5</v>
      </c>
      <c r="M139" s="17" t="s">
        <v>178</v>
      </c>
      <c r="N139" s="11">
        <f t="shared" si="10"/>
        <v>65.2</v>
      </c>
      <c r="O139" s="10">
        <f t="shared" si="15"/>
        <v>65.3</v>
      </c>
      <c r="P139" s="10">
        <f t="shared" si="16"/>
        <v>62.2</v>
      </c>
      <c r="Q139" s="10">
        <f t="shared" si="17"/>
        <v>65.599999999999994</v>
      </c>
      <c r="R139" s="10">
        <f t="shared" si="18"/>
        <v>63</v>
      </c>
    </row>
    <row r="140" spans="2:18" ht="15.75" x14ac:dyDescent="0.25">
      <c r="B140" t="s">
        <v>179</v>
      </c>
      <c r="C140">
        <v>62.6</v>
      </c>
      <c r="D140">
        <v>62.7</v>
      </c>
      <c r="E140">
        <v>59.5</v>
      </c>
      <c r="F140">
        <v>63.1</v>
      </c>
      <c r="G140">
        <v>60.3</v>
      </c>
      <c r="M140" s="17" t="s">
        <v>179</v>
      </c>
      <c r="N140" s="11">
        <f t="shared" si="10"/>
        <v>65.099999999999994</v>
      </c>
      <c r="O140" s="10">
        <f t="shared" si="15"/>
        <v>65.2</v>
      </c>
      <c r="P140" s="10">
        <f t="shared" si="16"/>
        <v>62</v>
      </c>
      <c r="Q140" s="10">
        <f t="shared" si="17"/>
        <v>65.599999999999994</v>
      </c>
      <c r="R140" s="10">
        <f t="shared" si="18"/>
        <v>62.8</v>
      </c>
    </row>
    <row r="141" spans="2:18" ht="15.75" x14ac:dyDescent="0.25">
      <c r="B141" t="s">
        <v>180</v>
      </c>
      <c r="C141">
        <v>62.4</v>
      </c>
      <c r="D141">
        <v>62.5</v>
      </c>
      <c r="E141">
        <v>59.1</v>
      </c>
      <c r="F141">
        <v>62.9</v>
      </c>
      <c r="G141">
        <v>59.9</v>
      </c>
      <c r="M141" s="17" t="s">
        <v>180</v>
      </c>
      <c r="N141" s="11">
        <f t="shared" si="10"/>
        <v>64.900000000000006</v>
      </c>
      <c r="O141" s="10">
        <f t="shared" si="15"/>
        <v>65</v>
      </c>
      <c r="P141" s="10">
        <f t="shared" si="16"/>
        <v>61.6</v>
      </c>
      <c r="Q141" s="10">
        <f t="shared" si="17"/>
        <v>65.400000000000006</v>
      </c>
      <c r="R141" s="10">
        <f t="shared" si="18"/>
        <v>62.4</v>
      </c>
    </row>
    <row r="142" spans="2:18" ht="15.75" x14ac:dyDescent="0.25">
      <c r="B142" t="s">
        <v>78</v>
      </c>
      <c r="C142">
        <v>59.6</v>
      </c>
      <c r="D142">
        <v>59.7</v>
      </c>
      <c r="E142">
        <v>59.4</v>
      </c>
      <c r="F142">
        <v>60.2</v>
      </c>
      <c r="G142">
        <v>60.2</v>
      </c>
      <c r="M142" s="17" t="s">
        <v>78</v>
      </c>
      <c r="N142" s="11">
        <f t="shared" si="10"/>
        <v>62.1</v>
      </c>
      <c r="O142" s="10">
        <f t="shared" si="15"/>
        <v>62.2</v>
      </c>
      <c r="P142" s="10">
        <f t="shared" si="16"/>
        <v>61.9</v>
      </c>
      <c r="Q142" s="10">
        <f t="shared" si="17"/>
        <v>62.7</v>
      </c>
      <c r="R142" s="10">
        <f t="shared" si="18"/>
        <v>62.7</v>
      </c>
    </row>
    <row r="143" spans="2:18" ht="15.75" x14ac:dyDescent="0.25">
      <c r="B143" t="s">
        <v>181</v>
      </c>
      <c r="C143">
        <v>59.8</v>
      </c>
      <c r="D143">
        <v>59.8</v>
      </c>
      <c r="E143">
        <v>59.6</v>
      </c>
      <c r="F143">
        <v>60.4</v>
      </c>
      <c r="G143">
        <v>60.4</v>
      </c>
      <c r="M143" s="17" t="s">
        <v>181</v>
      </c>
      <c r="N143" s="11">
        <f t="shared" si="10"/>
        <v>62.3</v>
      </c>
      <c r="O143" s="10">
        <f t="shared" si="15"/>
        <v>62.3</v>
      </c>
      <c r="P143" s="10">
        <f t="shared" si="16"/>
        <v>62.1</v>
      </c>
      <c r="Q143" s="10">
        <f t="shared" si="17"/>
        <v>62.9</v>
      </c>
      <c r="R143" s="10">
        <f t="shared" si="18"/>
        <v>62.9</v>
      </c>
    </row>
    <row r="144" spans="2:18" ht="15.75" x14ac:dyDescent="0.25">
      <c r="B144" t="s">
        <v>182</v>
      </c>
      <c r="C144">
        <v>59.5</v>
      </c>
      <c r="D144">
        <v>59.6</v>
      </c>
      <c r="E144">
        <v>59.4</v>
      </c>
      <c r="F144">
        <v>60.2</v>
      </c>
      <c r="G144">
        <v>60.1</v>
      </c>
      <c r="M144" s="17" t="s">
        <v>182</v>
      </c>
      <c r="N144" s="11">
        <f t="shared" si="10"/>
        <v>62</v>
      </c>
      <c r="O144" s="10">
        <f t="shared" si="15"/>
        <v>62.1</v>
      </c>
      <c r="P144" s="10">
        <f t="shared" si="16"/>
        <v>61.9</v>
      </c>
      <c r="Q144" s="10">
        <f t="shared" si="17"/>
        <v>62.7</v>
      </c>
      <c r="R144" s="10">
        <f t="shared" si="18"/>
        <v>62.6</v>
      </c>
    </row>
    <row r="145" spans="2:18" ht="15.75" x14ac:dyDescent="0.25">
      <c r="B145" t="s">
        <v>183</v>
      </c>
      <c r="C145">
        <v>59.8</v>
      </c>
      <c r="D145">
        <v>59.8</v>
      </c>
      <c r="E145">
        <v>59.6</v>
      </c>
      <c r="F145">
        <v>60.4</v>
      </c>
      <c r="G145">
        <v>60.4</v>
      </c>
      <c r="M145" s="17" t="s">
        <v>183</v>
      </c>
      <c r="N145" s="11">
        <f t="shared" si="10"/>
        <v>62.3</v>
      </c>
      <c r="O145" s="10">
        <f t="shared" si="15"/>
        <v>62.3</v>
      </c>
      <c r="P145" s="10">
        <f t="shared" si="16"/>
        <v>62.1</v>
      </c>
      <c r="Q145" s="10">
        <f t="shared" si="17"/>
        <v>62.9</v>
      </c>
      <c r="R145" s="10">
        <f t="shared" si="18"/>
        <v>62.9</v>
      </c>
    </row>
    <row r="146" spans="2:18" ht="15.75" x14ac:dyDescent="0.25">
      <c r="B146" t="s">
        <v>184</v>
      </c>
      <c r="C146">
        <v>59.8</v>
      </c>
      <c r="D146">
        <v>59.9</v>
      </c>
      <c r="E146">
        <v>59.7</v>
      </c>
      <c r="F146">
        <v>60.4</v>
      </c>
      <c r="G146">
        <v>60.4</v>
      </c>
      <c r="M146" s="17" t="s">
        <v>184</v>
      </c>
      <c r="N146" s="11">
        <f t="shared" si="10"/>
        <v>62.3</v>
      </c>
      <c r="O146" s="10">
        <f t="shared" si="15"/>
        <v>62.4</v>
      </c>
      <c r="P146" s="10">
        <f t="shared" si="16"/>
        <v>62.2</v>
      </c>
      <c r="Q146" s="10">
        <f t="shared" si="17"/>
        <v>62.9</v>
      </c>
      <c r="R146" s="10">
        <f t="shared" si="18"/>
        <v>62.9</v>
      </c>
    </row>
    <row r="147" spans="2:18" ht="15.75" x14ac:dyDescent="0.25">
      <c r="B147" t="s">
        <v>185</v>
      </c>
      <c r="C147">
        <v>56.5</v>
      </c>
      <c r="D147">
        <v>56.5</v>
      </c>
      <c r="E147">
        <v>56.2</v>
      </c>
      <c r="F147">
        <v>57.1</v>
      </c>
      <c r="G147">
        <v>57</v>
      </c>
      <c r="M147" s="17" t="s">
        <v>185</v>
      </c>
      <c r="N147" s="11">
        <f t="shared" si="10"/>
        <v>59</v>
      </c>
      <c r="O147" s="10">
        <f t="shared" si="15"/>
        <v>59</v>
      </c>
      <c r="P147" s="10">
        <f t="shared" si="16"/>
        <v>58.7</v>
      </c>
      <c r="Q147" s="10">
        <f t="shared" si="17"/>
        <v>59.6</v>
      </c>
      <c r="R147" s="10">
        <f t="shared" si="18"/>
        <v>59.5</v>
      </c>
    </row>
    <row r="148" spans="2:18" ht="15.75" x14ac:dyDescent="0.25">
      <c r="B148" t="s">
        <v>186</v>
      </c>
      <c r="C148">
        <v>56.4</v>
      </c>
      <c r="D148">
        <v>56.5</v>
      </c>
      <c r="E148">
        <v>56.4</v>
      </c>
      <c r="F148">
        <v>57</v>
      </c>
      <c r="G148">
        <v>57.1</v>
      </c>
      <c r="M148" s="17" t="s">
        <v>186</v>
      </c>
      <c r="N148" s="11">
        <f t="shared" si="10"/>
        <v>58.9</v>
      </c>
      <c r="O148" s="10">
        <f t="shared" si="15"/>
        <v>59</v>
      </c>
      <c r="P148" s="10">
        <f t="shared" si="16"/>
        <v>58.9</v>
      </c>
      <c r="Q148" s="10">
        <f t="shared" si="17"/>
        <v>59.5</v>
      </c>
      <c r="R148" s="10">
        <f t="shared" si="18"/>
        <v>59.6</v>
      </c>
    </row>
    <row r="149" spans="2:18" ht="15.75" x14ac:dyDescent="0.25">
      <c r="B149" t="s">
        <v>187</v>
      </c>
      <c r="C149">
        <v>56.1</v>
      </c>
      <c r="D149">
        <v>56.2</v>
      </c>
      <c r="E149">
        <v>56.1</v>
      </c>
      <c r="F149">
        <v>56.7</v>
      </c>
      <c r="G149">
        <v>56.9</v>
      </c>
      <c r="M149" s="17" t="s">
        <v>187</v>
      </c>
      <c r="N149" s="11">
        <f t="shared" si="10"/>
        <v>58.6</v>
      </c>
      <c r="O149" s="10">
        <f t="shared" si="15"/>
        <v>58.7</v>
      </c>
      <c r="P149" s="10">
        <f t="shared" si="16"/>
        <v>58.6</v>
      </c>
      <c r="Q149" s="10">
        <f t="shared" si="17"/>
        <v>59.2</v>
      </c>
      <c r="R149" s="10">
        <f t="shared" si="18"/>
        <v>59.4</v>
      </c>
    </row>
    <row r="150" spans="2:18" ht="15.75" x14ac:dyDescent="0.25">
      <c r="B150" t="s">
        <v>188</v>
      </c>
      <c r="C150">
        <v>55.7</v>
      </c>
      <c r="D150">
        <v>55.8</v>
      </c>
      <c r="E150">
        <v>55.8</v>
      </c>
      <c r="F150">
        <v>56.4</v>
      </c>
      <c r="G150">
        <v>56.5</v>
      </c>
      <c r="M150" s="17" t="s">
        <v>188</v>
      </c>
      <c r="N150" s="11">
        <f t="shared" si="10"/>
        <v>58.2</v>
      </c>
      <c r="O150" s="10">
        <f t="shared" si="15"/>
        <v>58.3</v>
      </c>
      <c r="P150" s="10">
        <f t="shared" si="16"/>
        <v>58.3</v>
      </c>
      <c r="Q150" s="10">
        <f t="shared" si="17"/>
        <v>58.9</v>
      </c>
      <c r="R150" s="10">
        <f t="shared" si="18"/>
        <v>59</v>
      </c>
    </row>
    <row r="151" spans="2:18" ht="15.75" x14ac:dyDescent="0.25">
      <c r="B151" t="s">
        <v>189</v>
      </c>
      <c r="C151">
        <v>49.7</v>
      </c>
      <c r="D151">
        <v>49.8</v>
      </c>
      <c r="E151">
        <v>49.6</v>
      </c>
      <c r="F151">
        <v>50.3</v>
      </c>
      <c r="G151">
        <v>50.4</v>
      </c>
      <c r="M151" s="17" t="s">
        <v>189</v>
      </c>
      <c r="N151" s="11">
        <f t="shared" si="10"/>
        <v>52.2</v>
      </c>
      <c r="O151" s="10">
        <f t="shared" si="15"/>
        <v>52.3</v>
      </c>
      <c r="P151" s="10">
        <f t="shared" si="16"/>
        <v>52.1</v>
      </c>
      <c r="Q151" s="10">
        <f t="shared" si="17"/>
        <v>52.8</v>
      </c>
      <c r="R151" s="10">
        <f t="shared" si="18"/>
        <v>52.9</v>
      </c>
    </row>
    <row r="152" spans="2:18" ht="15.75" x14ac:dyDescent="0.25">
      <c r="B152" t="s">
        <v>190</v>
      </c>
      <c r="C152">
        <v>49.8</v>
      </c>
      <c r="D152">
        <v>49.9</v>
      </c>
      <c r="E152">
        <v>49.7</v>
      </c>
      <c r="F152">
        <v>50.5</v>
      </c>
      <c r="G152">
        <v>50.5</v>
      </c>
      <c r="M152" s="17" t="s">
        <v>190</v>
      </c>
      <c r="N152" s="11">
        <f t="shared" si="10"/>
        <v>52.3</v>
      </c>
      <c r="O152" s="10">
        <f t="shared" si="15"/>
        <v>52.4</v>
      </c>
      <c r="P152" s="10">
        <f t="shared" si="16"/>
        <v>52.2</v>
      </c>
      <c r="Q152" s="10">
        <f t="shared" si="17"/>
        <v>53</v>
      </c>
      <c r="R152" s="10">
        <f t="shared" si="18"/>
        <v>53</v>
      </c>
    </row>
    <row r="153" spans="2:18" ht="15.75" x14ac:dyDescent="0.25">
      <c r="B153" t="s">
        <v>191</v>
      </c>
      <c r="C153">
        <v>59.6</v>
      </c>
      <c r="D153">
        <v>59.6</v>
      </c>
      <c r="E153">
        <v>59.5</v>
      </c>
      <c r="F153">
        <v>60.2</v>
      </c>
      <c r="G153">
        <v>60.3</v>
      </c>
      <c r="M153" s="17" t="s">
        <v>191</v>
      </c>
      <c r="N153" s="11">
        <f t="shared" ref="N153:N190" si="19">C153+2.5</f>
        <v>62.1</v>
      </c>
      <c r="O153" s="10">
        <f t="shared" si="15"/>
        <v>62.1</v>
      </c>
      <c r="P153" s="10">
        <f t="shared" si="16"/>
        <v>62</v>
      </c>
      <c r="Q153" s="10">
        <f t="shared" si="17"/>
        <v>62.7</v>
      </c>
      <c r="R153" s="10">
        <f t="shared" si="18"/>
        <v>62.8</v>
      </c>
    </row>
    <row r="154" spans="2:18" ht="15.75" x14ac:dyDescent="0.25">
      <c r="B154" t="s">
        <v>192</v>
      </c>
      <c r="C154">
        <v>49.9</v>
      </c>
      <c r="D154">
        <v>50</v>
      </c>
      <c r="E154">
        <v>50.1</v>
      </c>
      <c r="F154">
        <v>50.6</v>
      </c>
      <c r="G154">
        <v>50.8</v>
      </c>
      <c r="M154" s="17" t="s">
        <v>192</v>
      </c>
      <c r="N154" s="11">
        <f t="shared" si="19"/>
        <v>52.4</v>
      </c>
      <c r="O154" s="10">
        <f t="shared" si="15"/>
        <v>52.5</v>
      </c>
      <c r="P154" s="10">
        <f t="shared" si="16"/>
        <v>52.6</v>
      </c>
      <c r="Q154" s="10">
        <f t="shared" si="17"/>
        <v>53.1</v>
      </c>
      <c r="R154" s="10">
        <f t="shared" si="18"/>
        <v>53.3</v>
      </c>
    </row>
    <row r="155" spans="2:18" ht="15.75" x14ac:dyDescent="0.25">
      <c r="B155" t="s">
        <v>193</v>
      </c>
      <c r="C155">
        <v>59.5</v>
      </c>
      <c r="D155">
        <v>59.6</v>
      </c>
      <c r="E155">
        <v>59.5</v>
      </c>
      <c r="F155">
        <v>60.2</v>
      </c>
      <c r="G155">
        <v>60.3</v>
      </c>
      <c r="M155" s="17" t="s">
        <v>193</v>
      </c>
      <c r="N155" s="11">
        <f t="shared" si="19"/>
        <v>62</v>
      </c>
      <c r="O155" s="10">
        <f t="shared" si="15"/>
        <v>62.1</v>
      </c>
      <c r="P155" s="10">
        <f t="shared" si="16"/>
        <v>62</v>
      </c>
      <c r="Q155" s="10">
        <f t="shared" si="17"/>
        <v>62.7</v>
      </c>
      <c r="R155" s="10">
        <f t="shared" si="18"/>
        <v>62.8</v>
      </c>
    </row>
    <row r="156" spans="2:18" ht="15.75" x14ac:dyDescent="0.25">
      <c r="B156" t="s">
        <v>194</v>
      </c>
      <c r="C156">
        <v>59.2</v>
      </c>
      <c r="D156">
        <v>59.3</v>
      </c>
      <c r="E156">
        <v>59.2</v>
      </c>
      <c r="F156">
        <v>59.9</v>
      </c>
      <c r="G156">
        <v>59.9</v>
      </c>
      <c r="M156" s="17" t="s">
        <v>194</v>
      </c>
      <c r="N156" s="11">
        <f t="shared" si="19"/>
        <v>61.7</v>
      </c>
      <c r="O156" s="10">
        <f t="shared" si="15"/>
        <v>61.8</v>
      </c>
      <c r="P156" s="10">
        <f t="shared" si="16"/>
        <v>61.7</v>
      </c>
      <c r="Q156" s="10">
        <f t="shared" si="17"/>
        <v>62.4</v>
      </c>
      <c r="R156" s="10">
        <f t="shared" si="18"/>
        <v>62.4</v>
      </c>
    </row>
    <row r="157" spans="2:18" ht="15.75" x14ac:dyDescent="0.25">
      <c r="B157" t="s">
        <v>195</v>
      </c>
      <c r="C157">
        <v>59</v>
      </c>
      <c r="D157">
        <v>59</v>
      </c>
      <c r="E157">
        <v>58.9</v>
      </c>
      <c r="F157">
        <v>59.6</v>
      </c>
      <c r="G157">
        <v>59.7</v>
      </c>
      <c r="M157" s="17" t="s">
        <v>195</v>
      </c>
      <c r="N157" s="11">
        <f t="shared" si="19"/>
        <v>61.5</v>
      </c>
      <c r="O157" s="10">
        <f t="shared" si="15"/>
        <v>61.5</v>
      </c>
      <c r="P157" s="10">
        <f t="shared" si="16"/>
        <v>61.4</v>
      </c>
      <c r="Q157" s="10">
        <f t="shared" si="17"/>
        <v>62.1</v>
      </c>
      <c r="R157" s="10">
        <f t="shared" si="18"/>
        <v>62.2</v>
      </c>
    </row>
    <row r="158" spans="2:18" ht="15.75" x14ac:dyDescent="0.25">
      <c r="B158" t="s">
        <v>196</v>
      </c>
      <c r="C158">
        <v>57.1</v>
      </c>
      <c r="D158">
        <v>57.2</v>
      </c>
      <c r="E158">
        <v>57.1</v>
      </c>
      <c r="F158">
        <v>57.8</v>
      </c>
      <c r="G158">
        <v>57.9</v>
      </c>
      <c r="M158" s="17" t="s">
        <v>196</v>
      </c>
      <c r="N158" s="11">
        <f t="shared" si="19"/>
        <v>59.6</v>
      </c>
      <c r="O158" s="10">
        <f t="shared" si="15"/>
        <v>59.7</v>
      </c>
      <c r="P158" s="10">
        <f t="shared" si="16"/>
        <v>59.6</v>
      </c>
      <c r="Q158" s="10">
        <f t="shared" si="17"/>
        <v>60.3</v>
      </c>
      <c r="R158" s="10">
        <f t="shared" si="18"/>
        <v>60.4</v>
      </c>
    </row>
    <row r="159" spans="2:18" ht="15.75" x14ac:dyDescent="0.25">
      <c r="B159" t="s">
        <v>197</v>
      </c>
      <c r="C159">
        <v>57.8</v>
      </c>
      <c r="D159">
        <v>57.9</v>
      </c>
      <c r="E159">
        <v>57.8</v>
      </c>
      <c r="F159">
        <v>58.5</v>
      </c>
      <c r="G159">
        <v>58.6</v>
      </c>
      <c r="M159" s="17" t="s">
        <v>197</v>
      </c>
      <c r="N159" s="11">
        <f t="shared" si="19"/>
        <v>60.3</v>
      </c>
      <c r="O159" s="10">
        <f t="shared" si="15"/>
        <v>60.4</v>
      </c>
      <c r="P159" s="10">
        <f t="shared" si="16"/>
        <v>60.3</v>
      </c>
      <c r="Q159" s="10">
        <f t="shared" si="17"/>
        <v>61</v>
      </c>
      <c r="R159" s="10">
        <f t="shared" si="18"/>
        <v>61.1</v>
      </c>
    </row>
    <row r="160" spans="2:18" ht="15.75" x14ac:dyDescent="0.25">
      <c r="B160" t="s">
        <v>198</v>
      </c>
      <c r="C160">
        <v>58.2</v>
      </c>
      <c r="D160">
        <v>58.3</v>
      </c>
      <c r="E160">
        <v>58.3</v>
      </c>
      <c r="F160">
        <v>58.9</v>
      </c>
      <c r="G160">
        <v>59</v>
      </c>
      <c r="M160" s="17" t="s">
        <v>198</v>
      </c>
      <c r="N160" s="11">
        <f t="shared" si="19"/>
        <v>60.7</v>
      </c>
      <c r="O160" s="10">
        <f t="shared" si="15"/>
        <v>60.8</v>
      </c>
      <c r="P160" s="10">
        <f t="shared" si="16"/>
        <v>60.8</v>
      </c>
      <c r="Q160" s="10">
        <f t="shared" si="17"/>
        <v>61.4</v>
      </c>
      <c r="R160" s="10">
        <f t="shared" si="18"/>
        <v>61.5</v>
      </c>
    </row>
    <row r="161" spans="2:18" ht="15.75" x14ac:dyDescent="0.25">
      <c r="B161" t="s">
        <v>199</v>
      </c>
      <c r="C161">
        <v>58.6</v>
      </c>
      <c r="D161">
        <v>58.7</v>
      </c>
      <c r="E161">
        <v>58.6</v>
      </c>
      <c r="F161">
        <v>59.2</v>
      </c>
      <c r="G161">
        <v>59.4</v>
      </c>
      <c r="M161" s="17" t="s">
        <v>199</v>
      </c>
      <c r="N161" s="11">
        <f t="shared" si="19"/>
        <v>61.1</v>
      </c>
      <c r="O161" s="10">
        <f t="shared" si="15"/>
        <v>61.2</v>
      </c>
      <c r="P161" s="10">
        <f t="shared" si="16"/>
        <v>61.1</v>
      </c>
      <c r="Q161" s="10">
        <f t="shared" si="17"/>
        <v>61.7</v>
      </c>
      <c r="R161" s="10">
        <f t="shared" si="18"/>
        <v>61.9</v>
      </c>
    </row>
    <row r="162" spans="2:18" ht="15.75" x14ac:dyDescent="0.25">
      <c r="B162" t="s">
        <v>200</v>
      </c>
      <c r="C162">
        <v>56.6</v>
      </c>
      <c r="D162">
        <v>56.7</v>
      </c>
      <c r="E162">
        <v>56.5</v>
      </c>
      <c r="F162">
        <v>57.3</v>
      </c>
      <c r="G162">
        <v>57.3</v>
      </c>
      <c r="M162" s="17" t="s">
        <v>200</v>
      </c>
      <c r="N162" s="11">
        <f t="shared" si="19"/>
        <v>59.1</v>
      </c>
      <c r="O162" s="10">
        <f t="shared" si="15"/>
        <v>59.2</v>
      </c>
      <c r="P162" s="10">
        <f t="shared" si="16"/>
        <v>59</v>
      </c>
      <c r="Q162" s="10">
        <f t="shared" si="17"/>
        <v>59.8</v>
      </c>
      <c r="R162" s="10">
        <f t="shared" si="18"/>
        <v>59.8</v>
      </c>
    </row>
    <row r="163" spans="2:18" ht="15.75" x14ac:dyDescent="0.25">
      <c r="B163" t="s">
        <v>201</v>
      </c>
      <c r="C163">
        <v>56.5</v>
      </c>
      <c r="D163">
        <v>56.6</v>
      </c>
      <c r="E163">
        <v>56.4</v>
      </c>
      <c r="F163">
        <v>57.2</v>
      </c>
      <c r="G163">
        <v>57.2</v>
      </c>
      <c r="M163" s="17" t="s">
        <v>201</v>
      </c>
      <c r="N163" s="11">
        <f t="shared" si="19"/>
        <v>59</v>
      </c>
      <c r="O163" s="10">
        <f t="shared" si="15"/>
        <v>59.1</v>
      </c>
      <c r="P163" s="10">
        <f t="shared" si="16"/>
        <v>58.9</v>
      </c>
      <c r="Q163" s="10">
        <f t="shared" si="17"/>
        <v>59.7</v>
      </c>
      <c r="R163" s="10">
        <f t="shared" si="18"/>
        <v>59.7</v>
      </c>
    </row>
    <row r="164" spans="2:18" ht="15.75" x14ac:dyDescent="0.25">
      <c r="B164" t="s">
        <v>202</v>
      </c>
      <c r="C164">
        <v>58</v>
      </c>
      <c r="D164">
        <v>58.1</v>
      </c>
      <c r="E164">
        <v>58.2</v>
      </c>
      <c r="F164">
        <v>58.6</v>
      </c>
      <c r="G164">
        <v>58.9</v>
      </c>
      <c r="M164" s="17" t="s">
        <v>202</v>
      </c>
      <c r="N164" s="11">
        <f t="shared" si="19"/>
        <v>60.5</v>
      </c>
      <c r="O164" s="10">
        <f t="shared" si="15"/>
        <v>60.6</v>
      </c>
      <c r="P164" s="10">
        <f t="shared" si="16"/>
        <v>60.7</v>
      </c>
      <c r="Q164" s="10">
        <f t="shared" si="17"/>
        <v>61.1</v>
      </c>
      <c r="R164" s="10">
        <f t="shared" si="18"/>
        <v>61.4</v>
      </c>
    </row>
    <row r="165" spans="2:18" ht="15.75" x14ac:dyDescent="0.25">
      <c r="B165" t="s">
        <v>203</v>
      </c>
      <c r="C165">
        <v>57.8</v>
      </c>
      <c r="D165">
        <v>57.9</v>
      </c>
      <c r="E165">
        <v>58</v>
      </c>
      <c r="F165">
        <v>58.4</v>
      </c>
      <c r="G165">
        <v>58.7</v>
      </c>
      <c r="M165" s="17" t="s">
        <v>203</v>
      </c>
      <c r="N165" s="11">
        <f t="shared" si="19"/>
        <v>60.3</v>
      </c>
      <c r="O165" s="10">
        <f t="shared" si="15"/>
        <v>60.4</v>
      </c>
      <c r="P165" s="10">
        <f t="shared" si="16"/>
        <v>60.5</v>
      </c>
      <c r="Q165" s="10">
        <f t="shared" si="17"/>
        <v>60.9</v>
      </c>
      <c r="R165" s="10">
        <f t="shared" si="18"/>
        <v>61.2</v>
      </c>
    </row>
    <row r="166" spans="2:18" ht="15.75" x14ac:dyDescent="0.25">
      <c r="B166" t="s">
        <v>204</v>
      </c>
      <c r="C166">
        <v>55.5</v>
      </c>
      <c r="D166">
        <v>55.5</v>
      </c>
      <c r="E166">
        <v>55.5</v>
      </c>
      <c r="F166">
        <v>56.1</v>
      </c>
      <c r="G166">
        <v>56.3</v>
      </c>
      <c r="M166" s="17" t="s">
        <v>204</v>
      </c>
      <c r="N166" s="11">
        <f t="shared" si="19"/>
        <v>58</v>
      </c>
      <c r="O166" s="10">
        <f t="shared" si="15"/>
        <v>58</v>
      </c>
      <c r="P166" s="10">
        <f t="shared" si="16"/>
        <v>58</v>
      </c>
      <c r="Q166" s="10">
        <f t="shared" si="17"/>
        <v>58.6</v>
      </c>
      <c r="R166" s="10">
        <f t="shared" si="18"/>
        <v>58.8</v>
      </c>
    </row>
    <row r="167" spans="2:18" ht="15.75" x14ac:dyDescent="0.25">
      <c r="B167" t="s">
        <v>205</v>
      </c>
      <c r="C167">
        <v>56.1</v>
      </c>
      <c r="D167">
        <v>56.1</v>
      </c>
      <c r="E167">
        <v>56.1</v>
      </c>
      <c r="F167">
        <v>56.7</v>
      </c>
      <c r="G167">
        <v>56.9</v>
      </c>
      <c r="M167" s="17" t="s">
        <v>205</v>
      </c>
      <c r="N167" s="11">
        <f t="shared" si="19"/>
        <v>58.6</v>
      </c>
      <c r="O167" s="10">
        <f t="shared" si="15"/>
        <v>58.6</v>
      </c>
      <c r="P167" s="10">
        <f t="shared" si="16"/>
        <v>58.6</v>
      </c>
      <c r="Q167" s="10">
        <f t="shared" si="17"/>
        <v>59.2</v>
      </c>
      <c r="R167" s="10">
        <f t="shared" si="18"/>
        <v>59.4</v>
      </c>
    </row>
    <row r="168" spans="2:18" ht="15.75" x14ac:dyDescent="0.25">
      <c r="B168" t="s">
        <v>206</v>
      </c>
      <c r="C168">
        <v>56.5</v>
      </c>
      <c r="D168">
        <v>56.6</v>
      </c>
      <c r="E168">
        <v>56.5</v>
      </c>
      <c r="F168">
        <v>57.1</v>
      </c>
      <c r="G168">
        <v>57.3</v>
      </c>
      <c r="M168" s="17" t="s">
        <v>206</v>
      </c>
      <c r="N168" s="11">
        <f t="shared" si="19"/>
        <v>59</v>
      </c>
      <c r="O168" s="10">
        <f t="shared" si="15"/>
        <v>59.1</v>
      </c>
      <c r="P168" s="10">
        <f t="shared" si="16"/>
        <v>59</v>
      </c>
      <c r="Q168" s="10">
        <f t="shared" si="17"/>
        <v>59.6</v>
      </c>
      <c r="R168" s="10">
        <f t="shared" si="18"/>
        <v>59.8</v>
      </c>
    </row>
    <row r="169" spans="2:18" ht="15.75" x14ac:dyDescent="0.25">
      <c r="B169" t="s">
        <v>207</v>
      </c>
      <c r="C169">
        <v>55</v>
      </c>
      <c r="D169">
        <v>55.1</v>
      </c>
      <c r="E169">
        <v>55.1</v>
      </c>
      <c r="F169">
        <v>55.7</v>
      </c>
      <c r="G169">
        <v>55.8</v>
      </c>
      <c r="M169" s="17" t="s">
        <v>207</v>
      </c>
      <c r="N169" s="11">
        <f t="shared" si="19"/>
        <v>57.5</v>
      </c>
      <c r="O169" s="10">
        <f t="shared" si="15"/>
        <v>57.6</v>
      </c>
      <c r="P169" s="10">
        <f t="shared" si="16"/>
        <v>57.6</v>
      </c>
      <c r="Q169" s="10">
        <f t="shared" si="17"/>
        <v>58.2</v>
      </c>
      <c r="R169" s="10">
        <f t="shared" si="18"/>
        <v>58.3</v>
      </c>
    </row>
    <row r="170" spans="2:18" ht="15.75" x14ac:dyDescent="0.25">
      <c r="B170" t="s">
        <v>208</v>
      </c>
      <c r="C170">
        <v>48.8</v>
      </c>
      <c r="D170">
        <v>48.9</v>
      </c>
      <c r="E170">
        <v>48</v>
      </c>
      <c r="F170">
        <v>49.6</v>
      </c>
      <c r="G170">
        <v>48.8</v>
      </c>
      <c r="M170" s="17" t="s">
        <v>208</v>
      </c>
      <c r="N170" s="11">
        <f t="shared" si="19"/>
        <v>51.3</v>
      </c>
      <c r="O170" s="10">
        <f t="shared" si="15"/>
        <v>51.4</v>
      </c>
      <c r="P170" s="10">
        <f t="shared" si="16"/>
        <v>50.5</v>
      </c>
      <c r="Q170" s="10">
        <f t="shared" si="17"/>
        <v>52.1</v>
      </c>
      <c r="R170" s="10">
        <f t="shared" si="18"/>
        <v>51.3</v>
      </c>
    </row>
    <row r="171" spans="2:18" ht="15.75" x14ac:dyDescent="0.25">
      <c r="B171" t="s">
        <v>209</v>
      </c>
      <c r="C171">
        <v>48.5</v>
      </c>
      <c r="D171">
        <v>48.5</v>
      </c>
      <c r="E171">
        <v>47.6</v>
      </c>
      <c r="F171">
        <v>49.3</v>
      </c>
      <c r="G171">
        <v>48.5</v>
      </c>
      <c r="M171" s="17" t="s">
        <v>209</v>
      </c>
      <c r="N171" s="11">
        <f t="shared" si="19"/>
        <v>51</v>
      </c>
      <c r="O171" s="10">
        <f t="shared" si="15"/>
        <v>51</v>
      </c>
      <c r="P171" s="10">
        <f t="shared" si="16"/>
        <v>50.1</v>
      </c>
      <c r="Q171" s="10">
        <f t="shared" si="17"/>
        <v>51.8</v>
      </c>
      <c r="R171" s="10">
        <f t="shared" si="18"/>
        <v>51</v>
      </c>
    </row>
    <row r="172" spans="2:18" ht="15.75" x14ac:dyDescent="0.25">
      <c r="B172" t="s">
        <v>210</v>
      </c>
      <c r="C172">
        <v>47.8</v>
      </c>
      <c r="D172">
        <v>47.9</v>
      </c>
      <c r="E172">
        <v>46.9</v>
      </c>
      <c r="F172">
        <v>48.6</v>
      </c>
      <c r="G172">
        <v>47.8</v>
      </c>
      <c r="M172" s="17" t="s">
        <v>210</v>
      </c>
      <c r="N172" s="11">
        <f t="shared" si="19"/>
        <v>50.3</v>
      </c>
      <c r="O172" s="10">
        <f t="shared" si="15"/>
        <v>50.4</v>
      </c>
      <c r="P172" s="10">
        <f t="shared" si="16"/>
        <v>49.4</v>
      </c>
      <c r="Q172" s="10">
        <f t="shared" si="17"/>
        <v>51.1</v>
      </c>
      <c r="R172" s="10">
        <f t="shared" si="18"/>
        <v>50.3</v>
      </c>
    </row>
    <row r="173" spans="2:18" ht="15.75" x14ac:dyDescent="0.25">
      <c r="B173" t="s">
        <v>211</v>
      </c>
      <c r="C173">
        <v>48.9</v>
      </c>
      <c r="D173">
        <v>48.9</v>
      </c>
      <c r="E173">
        <v>48</v>
      </c>
      <c r="F173">
        <v>49.7</v>
      </c>
      <c r="G173">
        <v>48.8</v>
      </c>
      <c r="M173" s="17" t="s">
        <v>211</v>
      </c>
      <c r="N173" s="11">
        <f t="shared" si="19"/>
        <v>51.4</v>
      </c>
      <c r="O173" s="10">
        <f t="shared" si="15"/>
        <v>51.4</v>
      </c>
      <c r="P173" s="10">
        <f t="shared" si="16"/>
        <v>50.5</v>
      </c>
      <c r="Q173" s="10">
        <f t="shared" si="17"/>
        <v>52.2</v>
      </c>
      <c r="R173" s="10">
        <f t="shared" si="18"/>
        <v>51.3</v>
      </c>
    </row>
    <row r="174" spans="2:18" ht="15.75" x14ac:dyDescent="0.25">
      <c r="B174" t="s">
        <v>212</v>
      </c>
      <c r="C174">
        <v>48.6</v>
      </c>
      <c r="D174">
        <v>48.7</v>
      </c>
      <c r="E174">
        <v>47.6</v>
      </c>
      <c r="F174">
        <v>49.4</v>
      </c>
      <c r="G174">
        <v>48.4</v>
      </c>
      <c r="M174" s="17" t="s">
        <v>212</v>
      </c>
      <c r="N174" s="11">
        <f t="shared" si="19"/>
        <v>51.1</v>
      </c>
      <c r="O174" s="10">
        <f t="shared" si="15"/>
        <v>51.2</v>
      </c>
      <c r="P174" s="10">
        <f t="shared" si="16"/>
        <v>50.1</v>
      </c>
      <c r="Q174" s="10">
        <f t="shared" si="17"/>
        <v>51.9</v>
      </c>
      <c r="R174" s="10">
        <f t="shared" si="18"/>
        <v>50.9</v>
      </c>
    </row>
    <row r="175" spans="2:18" ht="15.75" x14ac:dyDescent="0.25">
      <c r="B175" t="s">
        <v>213</v>
      </c>
      <c r="C175">
        <v>57.7</v>
      </c>
      <c r="D175">
        <v>57.8</v>
      </c>
      <c r="E175">
        <v>57.5</v>
      </c>
      <c r="F175">
        <v>58.3</v>
      </c>
      <c r="G175">
        <v>58.3</v>
      </c>
      <c r="M175" s="17" t="s">
        <v>213</v>
      </c>
      <c r="N175" s="11">
        <f t="shared" si="19"/>
        <v>60.2</v>
      </c>
      <c r="O175" s="10">
        <f t="shared" si="15"/>
        <v>60.3</v>
      </c>
      <c r="P175" s="10">
        <f t="shared" si="16"/>
        <v>60</v>
      </c>
      <c r="Q175" s="10">
        <f t="shared" si="17"/>
        <v>60.8</v>
      </c>
      <c r="R175" s="10">
        <f t="shared" si="18"/>
        <v>60.8</v>
      </c>
    </row>
    <row r="176" spans="2:18" ht="15.75" x14ac:dyDescent="0.25">
      <c r="B176" t="s">
        <v>214</v>
      </c>
      <c r="C176">
        <v>58</v>
      </c>
      <c r="D176">
        <v>58.1</v>
      </c>
      <c r="E176">
        <v>57.8</v>
      </c>
      <c r="F176">
        <v>58.6</v>
      </c>
      <c r="G176">
        <v>58.5</v>
      </c>
      <c r="M176" s="17" t="s">
        <v>214</v>
      </c>
      <c r="N176" s="11">
        <f t="shared" si="19"/>
        <v>60.5</v>
      </c>
      <c r="O176" s="10">
        <f t="shared" si="15"/>
        <v>60.6</v>
      </c>
      <c r="P176" s="10">
        <f t="shared" si="16"/>
        <v>60.3</v>
      </c>
      <c r="Q176" s="10">
        <f t="shared" si="17"/>
        <v>61.1</v>
      </c>
      <c r="R176" s="10">
        <f t="shared" si="18"/>
        <v>61</v>
      </c>
    </row>
    <row r="177" spans="2:18" ht="15.75" x14ac:dyDescent="0.25">
      <c r="B177" t="s">
        <v>215</v>
      </c>
      <c r="C177">
        <v>58.4</v>
      </c>
      <c r="D177">
        <v>58.5</v>
      </c>
      <c r="E177">
        <v>58.2</v>
      </c>
      <c r="F177">
        <v>59</v>
      </c>
      <c r="G177">
        <v>59</v>
      </c>
      <c r="M177" s="17" t="s">
        <v>215</v>
      </c>
      <c r="N177" s="11">
        <f t="shared" si="19"/>
        <v>60.9</v>
      </c>
      <c r="O177" s="10">
        <f t="shared" si="15"/>
        <v>61</v>
      </c>
      <c r="P177" s="10">
        <f t="shared" si="16"/>
        <v>60.7</v>
      </c>
      <c r="Q177" s="10">
        <f t="shared" si="17"/>
        <v>61.5</v>
      </c>
      <c r="R177" s="10">
        <f t="shared" si="18"/>
        <v>61.5</v>
      </c>
    </row>
    <row r="178" spans="2:18" ht="15.75" x14ac:dyDescent="0.25">
      <c r="B178" t="s">
        <v>216</v>
      </c>
      <c r="C178">
        <v>57.4</v>
      </c>
      <c r="D178">
        <v>57.5</v>
      </c>
      <c r="E178">
        <v>57.2</v>
      </c>
      <c r="F178">
        <v>57.9</v>
      </c>
      <c r="G178">
        <v>57.9</v>
      </c>
      <c r="M178" s="17" t="s">
        <v>216</v>
      </c>
      <c r="N178" s="11">
        <f t="shared" si="19"/>
        <v>59.9</v>
      </c>
      <c r="O178" s="10">
        <f t="shared" si="15"/>
        <v>60</v>
      </c>
      <c r="P178" s="10">
        <f t="shared" si="16"/>
        <v>59.7</v>
      </c>
      <c r="Q178" s="10">
        <f t="shared" si="17"/>
        <v>60.4</v>
      </c>
      <c r="R178" s="10">
        <f t="shared" si="18"/>
        <v>60.4</v>
      </c>
    </row>
    <row r="179" spans="2:18" ht="15.75" x14ac:dyDescent="0.25">
      <c r="B179" t="s">
        <v>217</v>
      </c>
      <c r="C179">
        <v>60.1</v>
      </c>
      <c r="D179">
        <v>60.2</v>
      </c>
      <c r="E179">
        <v>59.5</v>
      </c>
      <c r="F179">
        <v>60.5</v>
      </c>
      <c r="G179">
        <v>60.2</v>
      </c>
      <c r="M179" s="17" t="s">
        <v>217</v>
      </c>
      <c r="N179" s="11">
        <f t="shared" si="19"/>
        <v>62.6</v>
      </c>
      <c r="O179" s="10">
        <f t="shared" ref="O179:O190" si="20">D179+2.5</f>
        <v>62.7</v>
      </c>
      <c r="P179" s="10">
        <f t="shared" ref="P179:P190" si="21">E179+2.5</f>
        <v>62</v>
      </c>
      <c r="Q179" s="10">
        <f t="shared" ref="Q179:Q190" si="22">F179+2.5</f>
        <v>63</v>
      </c>
      <c r="R179" s="10">
        <f t="shared" ref="R179:R190" si="23">G179+2.5</f>
        <v>62.7</v>
      </c>
    </row>
    <row r="180" spans="2:18" ht="15.75" x14ac:dyDescent="0.25">
      <c r="B180" t="s">
        <v>218</v>
      </c>
      <c r="C180">
        <v>61.7</v>
      </c>
      <c r="D180">
        <v>61.8</v>
      </c>
      <c r="E180">
        <v>61.8</v>
      </c>
      <c r="F180">
        <v>62.3</v>
      </c>
      <c r="G180">
        <v>62.6</v>
      </c>
      <c r="M180" s="17" t="s">
        <v>218</v>
      </c>
      <c r="N180" s="11">
        <f t="shared" si="19"/>
        <v>64.2</v>
      </c>
      <c r="O180" s="10">
        <f t="shared" si="20"/>
        <v>64.3</v>
      </c>
      <c r="P180" s="10">
        <f t="shared" si="21"/>
        <v>64.3</v>
      </c>
      <c r="Q180" s="10">
        <f t="shared" si="22"/>
        <v>64.8</v>
      </c>
      <c r="R180" s="10">
        <f t="shared" si="23"/>
        <v>65.099999999999994</v>
      </c>
    </row>
    <row r="181" spans="2:18" ht="15.75" x14ac:dyDescent="0.25">
      <c r="B181" t="s">
        <v>219</v>
      </c>
      <c r="C181">
        <v>62</v>
      </c>
      <c r="D181">
        <v>62</v>
      </c>
      <c r="E181">
        <v>62.1</v>
      </c>
      <c r="F181">
        <v>62.6</v>
      </c>
      <c r="G181">
        <v>62.9</v>
      </c>
      <c r="M181" s="17" t="s">
        <v>219</v>
      </c>
      <c r="N181" s="11">
        <f t="shared" si="19"/>
        <v>64.5</v>
      </c>
      <c r="O181" s="10">
        <f t="shared" si="20"/>
        <v>64.5</v>
      </c>
      <c r="P181" s="10">
        <f t="shared" si="21"/>
        <v>64.599999999999994</v>
      </c>
      <c r="Q181" s="10">
        <f t="shared" si="22"/>
        <v>65.099999999999994</v>
      </c>
      <c r="R181" s="10">
        <f t="shared" si="23"/>
        <v>65.400000000000006</v>
      </c>
    </row>
    <row r="182" spans="2:18" ht="15.75" x14ac:dyDescent="0.25">
      <c r="B182" t="s">
        <v>220</v>
      </c>
      <c r="C182">
        <v>61.5</v>
      </c>
      <c r="D182">
        <v>61.6</v>
      </c>
      <c r="E182">
        <v>61.5</v>
      </c>
      <c r="F182">
        <v>62.1</v>
      </c>
      <c r="G182">
        <v>62.3</v>
      </c>
      <c r="M182" s="17" t="s">
        <v>220</v>
      </c>
      <c r="N182" s="11">
        <f t="shared" si="19"/>
        <v>64</v>
      </c>
      <c r="O182" s="10">
        <f t="shared" si="20"/>
        <v>64.099999999999994</v>
      </c>
      <c r="P182" s="10">
        <f t="shared" si="21"/>
        <v>64</v>
      </c>
      <c r="Q182" s="10">
        <f t="shared" si="22"/>
        <v>64.599999999999994</v>
      </c>
      <c r="R182" s="10">
        <f t="shared" si="23"/>
        <v>64.8</v>
      </c>
    </row>
    <row r="183" spans="2:18" ht="15.75" x14ac:dyDescent="0.25">
      <c r="B183" t="s">
        <v>221</v>
      </c>
      <c r="C183">
        <v>61.7</v>
      </c>
      <c r="D183">
        <v>61.8</v>
      </c>
      <c r="E183">
        <v>61.7</v>
      </c>
      <c r="F183">
        <v>62.3</v>
      </c>
      <c r="G183">
        <v>62.5</v>
      </c>
      <c r="M183" s="17" t="s">
        <v>221</v>
      </c>
      <c r="N183" s="11">
        <f t="shared" si="19"/>
        <v>64.2</v>
      </c>
      <c r="O183" s="10">
        <f t="shared" si="20"/>
        <v>64.3</v>
      </c>
      <c r="P183" s="10">
        <f t="shared" si="21"/>
        <v>64.2</v>
      </c>
      <c r="Q183" s="10">
        <f t="shared" si="22"/>
        <v>64.8</v>
      </c>
      <c r="R183" s="10">
        <f t="shared" si="23"/>
        <v>65</v>
      </c>
    </row>
    <row r="184" spans="2:18" ht="15.75" x14ac:dyDescent="0.25">
      <c r="B184" t="s">
        <v>222</v>
      </c>
      <c r="C184">
        <v>61.7</v>
      </c>
      <c r="D184">
        <v>61.8</v>
      </c>
      <c r="E184">
        <v>61.7</v>
      </c>
      <c r="F184">
        <v>62.4</v>
      </c>
      <c r="G184">
        <v>62.5</v>
      </c>
      <c r="M184" s="17" t="s">
        <v>222</v>
      </c>
      <c r="N184" s="11">
        <f t="shared" si="19"/>
        <v>64.2</v>
      </c>
      <c r="O184" s="10">
        <f t="shared" si="20"/>
        <v>64.3</v>
      </c>
      <c r="P184" s="10">
        <f t="shared" si="21"/>
        <v>64.2</v>
      </c>
      <c r="Q184" s="10">
        <f t="shared" si="22"/>
        <v>64.900000000000006</v>
      </c>
      <c r="R184" s="10">
        <f t="shared" si="23"/>
        <v>65</v>
      </c>
    </row>
    <row r="185" spans="2:18" ht="15.75" x14ac:dyDescent="0.25">
      <c r="B185" t="s">
        <v>222</v>
      </c>
      <c r="C185">
        <v>61.5</v>
      </c>
      <c r="D185">
        <v>61.5</v>
      </c>
      <c r="E185">
        <v>61.5</v>
      </c>
      <c r="F185">
        <v>62.1</v>
      </c>
      <c r="G185">
        <v>62.2</v>
      </c>
      <c r="M185" s="17" t="s">
        <v>222</v>
      </c>
      <c r="N185" s="11">
        <f t="shared" si="19"/>
        <v>64</v>
      </c>
      <c r="O185" s="10">
        <f t="shared" si="20"/>
        <v>64</v>
      </c>
      <c r="P185" s="10">
        <f t="shared" si="21"/>
        <v>64</v>
      </c>
      <c r="Q185" s="10">
        <f t="shared" si="22"/>
        <v>64.599999999999994</v>
      </c>
      <c r="R185" s="10">
        <f t="shared" si="23"/>
        <v>64.7</v>
      </c>
    </row>
    <row r="186" spans="2:18" ht="15.75" x14ac:dyDescent="0.25">
      <c r="B186" t="s">
        <v>222</v>
      </c>
      <c r="C186">
        <v>61.4</v>
      </c>
      <c r="D186">
        <v>61.4</v>
      </c>
      <c r="E186">
        <v>61.3</v>
      </c>
      <c r="F186">
        <v>62</v>
      </c>
      <c r="G186">
        <v>62.1</v>
      </c>
      <c r="M186" s="17" t="s">
        <v>222</v>
      </c>
      <c r="N186" s="11">
        <f t="shared" si="19"/>
        <v>63.9</v>
      </c>
      <c r="O186" s="10">
        <f t="shared" si="20"/>
        <v>63.9</v>
      </c>
      <c r="P186" s="10">
        <f t="shared" si="21"/>
        <v>63.8</v>
      </c>
      <c r="Q186" s="10">
        <f t="shared" si="22"/>
        <v>64.5</v>
      </c>
      <c r="R186" s="10">
        <f t="shared" si="23"/>
        <v>64.599999999999994</v>
      </c>
    </row>
    <row r="187" spans="2:18" ht="15.75" x14ac:dyDescent="0.25">
      <c r="B187" t="s">
        <v>222</v>
      </c>
      <c r="C187">
        <v>61.5</v>
      </c>
      <c r="D187">
        <v>61.6</v>
      </c>
      <c r="E187">
        <v>61.5</v>
      </c>
      <c r="F187">
        <v>62.1</v>
      </c>
      <c r="G187">
        <v>62.2</v>
      </c>
      <c r="M187" s="17" t="s">
        <v>222</v>
      </c>
      <c r="N187" s="11">
        <f t="shared" si="19"/>
        <v>64</v>
      </c>
      <c r="O187" s="10">
        <f t="shared" si="20"/>
        <v>64.099999999999994</v>
      </c>
      <c r="P187" s="10">
        <f t="shared" si="21"/>
        <v>64</v>
      </c>
      <c r="Q187" s="10">
        <f t="shared" si="22"/>
        <v>64.599999999999994</v>
      </c>
      <c r="R187" s="10">
        <f t="shared" si="23"/>
        <v>64.7</v>
      </c>
    </row>
    <row r="188" spans="2:18" ht="15.75" x14ac:dyDescent="0.25">
      <c r="B188" t="s">
        <v>223</v>
      </c>
      <c r="C188">
        <v>61.2</v>
      </c>
      <c r="D188">
        <v>61.3</v>
      </c>
      <c r="E188">
        <v>61.2</v>
      </c>
      <c r="F188">
        <v>61.7</v>
      </c>
      <c r="G188">
        <v>62</v>
      </c>
      <c r="M188" s="17" t="s">
        <v>223</v>
      </c>
      <c r="N188" s="11">
        <f t="shared" si="19"/>
        <v>63.7</v>
      </c>
      <c r="O188" s="10">
        <f t="shared" si="20"/>
        <v>63.8</v>
      </c>
      <c r="P188" s="10">
        <f t="shared" si="21"/>
        <v>63.7</v>
      </c>
      <c r="Q188" s="10">
        <f t="shared" si="22"/>
        <v>64.2</v>
      </c>
      <c r="R188" s="10">
        <f t="shared" si="23"/>
        <v>64.5</v>
      </c>
    </row>
    <row r="189" spans="2:18" ht="15.75" x14ac:dyDescent="0.25">
      <c r="B189" t="s">
        <v>223</v>
      </c>
      <c r="C189">
        <v>58.2</v>
      </c>
      <c r="D189">
        <v>58.3</v>
      </c>
      <c r="E189">
        <v>58.3</v>
      </c>
      <c r="F189">
        <v>58.8</v>
      </c>
      <c r="G189">
        <v>59.1</v>
      </c>
      <c r="M189" s="17" t="s">
        <v>223</v>
      </c>
      <c r="N189" s="11">
        <f t="shared" si="19"/>
        <v>60.7</v>
      </c>
      <c r="O189" s="10">
        <f t="shared" si="20"/>
        <v>60.8</v>
      </c>
      <c r="P189" s="10">
        <f t="shared" si="21"/>
        <v>60.8</v>
      </c>
      <c r="Q189" s="10">
        <f t="shared" si="22"/>
        <v>61.3</v>
      </c>
      <c r="R189" s="10">
        <f t="shared" si="23"/>
        <v>61.6</v>
      </c>
    </row>
    <row r="190" spans="2:18" ht="15.75" x14ac:dyDescent="0.25">
      <c r="B190" t="s">
        <v>223</v>
      </c>
      <c r="C190">
        <v>58.2</v>
      </c>
      <c r="D190">
        <v>58.3</v>
      </c>
      <c r="E190">
        <v>58.3</v>
      </c>
      <c r="F190">
        <v>58.8</v>
      </c>
      <c r="G190">
        <v>59</v>
      </c>
      <c r="M190" s="17" t="s">
        <v>223</v>
      </c>
      <c r="N190" s="11">
        <f t="shared" si="19"/>
        <v>60.7</v>
      </c>
      <c r="O190" s="10">
        <f t="shared" si="20"/>
        <v>60.8</v>
      </c>
      <c r="P190" s="10">
        <f t="shared" si="21"/>
        <v>60.8</v>
      </c>
      <c r="Q190" s="10">
        <f t="shared" si="22"/>
        <v>61.3</v>
      </c>
      <c r="R190" s="10">
        <f t="shared" si="23"/>
        <v>61.5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192"/>
  <sheetViews>
    <sheetView workbookViewId="0">
      <selection activeCell="M14" sqref="M14"/>
    </sheetView>
  </sheetViews>
  <sheetFormatPr defaultRowHeight="15" x14ac:dyDescent="0.25"/>
  <cols>
    <col min="2" max="2" width="22.85546875" bestFit="1" customWidth="1"/>
    <col min="3" max="3" width="22.85546875" customWidth="1"/>
    <col min="4" max="4" width="24.140625" bestFit="1" customWidth="1"/>
    <col min="5" max="5" width="29" bestFit="1" customWidth="1"/>
    <col min="6" max="6" width="20.5703125" bestFit="1" customWidth="1"/>
    <col min="7" max="7" width="24.140625" bestFit="1" customWidth="1"/>
    <col min="8" max="8" width="29" bestFit="1" customWidth="1"/>
    <col min="9" max="9" width="20.5703125" bestFit="1" customWidth="1"/>
  </cols>
  <sheetData>
    <row r="1" spans="2:10" x14ac:dyDescent="0.25">
      <c r="E1" s="15" t="s">
        <v>33</v>
      </c>
      <c r="H1" s="15" t="s">
        <v>33</v>
      </c>
    </row>
    <row r="2" spans="2:10" x14ac:dyDescent="0.25">
      <c r="B2" s="2"/>
      <c r="C2" s="20"/>
      <c r="D2" s="43">
        <v>2016</v>
      </c>
      <c r="E2" s="43"/>
      <c r="F2" s="43"/>
      <c r="G2" s="44">
        <v>2030</v>
      </c>
      <c r="H2" s="44"/>
      <c r="I2" s="44"/>
    </row>
    <row r="3" spans="2:10" x14ac:dyDescent="0.25">
      <c r="D3" s="2" t="s">
        <v>3</v>
      </c>
      <c r="E3" s="2" t="s">
        <v>5</v>
      </c>
      <c r="F3" s="2" t="s">
        <v>7</v>
      </c>
      <c r="G3" s="2" t="s">
        <v>3</v>
      </c>
      <c r="H3" s="2" t="s">
        <v>5</v>
      </c>
      <c r="I3" s="2" t="s">
        <v>7</v>
      </c>
    </row>
    <row r="4" spans="2:10" x14ac:dyDescent="0.25">
      <c r="B4" s="2"/>
      <c r="C4" s="20" t="s">
        <v>235</v>
      </c>
      <c r="D4" s="2" t="s">
        <v>4</v>
      </c>
      <c r="E4" s="2" t="s">
        <v>6</v>
      </c>
      <c r="F4" s="2" t="s">
        <v>8</v>
      </c>
      <c r="G4" s="2" t="s">
        <v>4</v>
      </c>
      <c r="H4" s="2" t="s">
        <v>9</v>
      </c>
      <c r="I4" s="2" t="s">
        <v>8</v>
      </c>
      <c r="J4" s="20" t="s">
        <v>236</v>
      </c>
    </row>
    <row r="5" spans="2:10" x14ac:dyDescent="0.25">
      <c r="B5" t="str">
        <f>Levels!B4</f>
        <v>Village Farm Bungalow</v>
      </c>
      <c r="C5" s="4">
        <f>Levels!N4</f>
        <v>65.099999999999994</v>
      </c>
      <c r="D5" s="4">
        <f>ROUND(Levels!P4, 0)</f>
        <v>65</v>
      </c>
      <c r="E5" s="5">
        <f>ROUND(Levels!P4-Levels!N4, 1)</f>
        <v>0.2</v>
      </c>
      <c r="F5" s="5">
        <f>ROUND(Levels!P4-Levels!O4, 1)</f>
        <v>0.1</v>
      </c>
      <c r="G5" s="4">
        <f>ROUND(Levels!R4, 0)</f>
        <v>66</v>
      </c>
      <c r="H5" s="5">
        <f>ROUND(Levels!R4-Levels!N4, 1)</f>
        <v>0.9</v>
      </c>
      <c r="I5" s="5">
        <f>ROUND(Levels!R4-Levels!Q4, 1)</f>
        <v>0.3</v>
      </c>
      <c r="J5" t="s">
        <v>237</v>
      </c>
    </row>
    <row r="6" spans="2:10" x14ac:dyDescent="0.25">
      <c r="B6" t="str">
        <f>Levels!B5</f>
        <v>Hillcrest Grove 1a</v>
      </c>
      <c r="C6" s="4">
        <f>Levels!N5</f>
        <v>62.4</v>
      </c>
      <c r="D6" s="4">
        <f>ROUND(Levels!P5, 0)</f>
        <v>63</v>
      </c>
      <c r="E6" s="5">
        <f>ROUND(Levels!P5-Levels!N5, 1)</f>
        <v>0.2</v>
      </c>
      <c r="F6" s="5">
        <f>ROUND(Levels!P5-Levels!O5, 1)</f>
        <v>0.1</v>
      </c>
      <c r="G6" s="4">
        <f>ROUND(Levels!R5, 0)</f>
        <v>63</v>
      </c>
      <c r="H6" s="5">
        <f>ROUND(Levels!R5-Levels!N5, 1)</f>
        <v>1</v>
      </c>
      <c r="I6" s="5">
        <f>ROUND(Levels!R5-Levels!Q5, 1)</f>
        <v>0.4</v>
      </c>
      <c r="J6" t="s">
        <v>237</v>
      </c>
    </row>
    <row r="7" spans="2:10" x14ac:dyDescent="0.25">
      <c r="B7" t="str">
        <f>Levels!B6</f>
        <v>Hillcrest Grove 1</v>
      </c>
      <c r="C7" s="4">
        <f>Levels!N6</f>
        <v>63.9</v>
      </c>
      <c r="D7" s="4">
        <f>ROUND(Levels!P6, 0)</f>
        <v>64</v>
      </c>
      <c r="E7" s="5">
        <f>ROUND(Levels!P6-Levels!N6, 1)</f>
        <v>0.2</v>
      </c>
      <c r="F7" s="5">
        <f>ROUND(Levels!P6-Levels!O6, 1)</f>
        <v>0.1</v>
      </c>
      <c r="G7" s="4">
        <f>ROUND(Levels!R6, 0)</f>
        <v>65</v>
      </c>
      <c r="H7" s="5">
        <f>ROUND(Levels!R6-Levels!N6, 1)</f>
        <v>0.9</v>
      </c>
      <c r="I7" s="5">
        <f>ROUND(Levels!R6-Levels!Q6, 1)</f>
        <v>0.3</v>
      </c>
      <c r="J7" t="s">
        <v>237</v>
      </c>
    </row>
    <row r="8" spans="2:10" x14ac:dyDescent="0.25">
      <c r="B8" t="str">
        <f>Levels!B7</f>
        <v>Hillcrest Grove 13</v>
      </c>
      <c r="C8" s="4">
        <f>Levels!N7</f>
        <v>64.5</v>
      </c>
      <c r="D8" s="4">
        <f>ROUND(Levels!P7, 0)</f>
        <v>65</v>
      </c>
      <c r="E8" s="5">
        <f>ROUND(Levels!P7-Levels!N7, 1)</f>
        <v>0</v>
      </c>
      <c r="F8" s="5">
        <f>ROUND(Levels!P7-Levels!O7, 1)</f>
        <v>0</v>
      </c>
      <c r="G8" s="4">
        <f>ROUND(Levels!R7, 0)</f>
        <v>65</v>
      </c>
      <c r="H8" s="5">
        <f>ROUND(Levels!R7-Levels!N7, 1)</f>
        <v>0.7</v>
      </c>
      <c r="I8" s="5">
        <f>ROUND(Levels!R7-Levels!Q7, 1)</f>
        <v>0.1</v>
      </c>
      <c r="J8" t="s">
        <v>237</v>
      </c>
    </row>
    <row r="9" spans="2:10" x14ac:dyDescent="0.25">
      <c r="B9" t="str">
        <f>Levels!B8</f>
        <v>Hillcrest Grove 21</v>
      </c>
      <c r="C9" s="4">
        <f>Levels!N8</f>
        <v>64</v>
      </c>
      <c r="D9" s="4">
        <f>ROUND(Levels!P8, 0)</f>
        <v>64</v>
      </c>
      <c r="E9" s="5">
        <f>ROUND(Levels!P8-Levels!N8, 1)</f>
        <v>0</v>
      </c>
      <c r="F9" s="5">
        <f>ROUND(Levels!P8-Levels!O8, 1)</f>
        <v>0</v>
      </c>
      <c r="G9" s="4">
        <f>ROUND(Levels!R8, 0)</f>
        <v>65</v>
      </c>
      <c r="H9" s="5">
        <f>ROUND(Levels!R8-Levels!N8, 1)</f>
        <v>0.7</v>
      </c>
      <c r="I9" s="5">
        <f>ROUND(Levels!R8-Levels!Q8, 1)</f>
        <v>0.1</v>
      </c>
      <c r="J9" t="s">
        <v>237</v>
      </c>
    </row>
    <row r="10" spans="2:10" x14ac:dyDescent="0.25">
      <c r="B10" t="str">
        <f>Levels!B9</f>
        <v>The Paddock 10</v>
      </c>
      <c r="C10" s="4">
        <f>Levels!N9</f>
        <v>51.1</v>
      </c>
      <c r="D10" s="4">
        <f>ROUND(Levels!P9, 0)</f>
        <v>51</v>
      </c>
      <c r="E10" s="5">
        <f>ROUND(Levels!P9-Levels!N9, 1)</f>
        <v>0.3</v>
      </c>
      <c r="F10" s="5">
        <f>ROUND(Levels!P9-Levels!O9, 1)</f>
        <v>0.2</v>
      </c>
      <c r="G10" s="4">
        <f>ROUND(Levels!R9, 0)</f>
        <v>52</v>
      </c>
      <c r="H10" s="5">
        <f>ROUND(Levels!R9-Levels!N9, 1)</f>
        <v>1</v>
      </c>
      <c r="I10" s="5">
        <f>ROUND(Levels!R9-Levels!Q9, 1)</f>
        <v>0.3</v>
      </c>
      <c r="J10" t="s">
        <v>237</v>
      </c>
    </row>
    <row r="11" spans="2:10" x14ac:dyDescent="0.25">
      <c r="B11" t="str">
        <f>Levels!B10</f>
        <v>The Paddock 12</v>
      </c>
      <c r="C11" s="4">
        <f>Levels!N10</f>
        <v>51</v>
      </c>
      <c r="D11" s="4">
        <f>ROUND(Levels!P10, 0)</f>
        <v>51</v>
      </c>
      <c r="E11" s="5">
        <f>ROUND(Levels!P10-Levels!N10, 1)</f>
        <v>0.1</v>
      </c>
      <c r="F11" s="5">
        <f>ROUND(Levels!P10-Levels!O10, 1)</f>
        <v>0.1</v>
      </c>
      <c r="G11" s="4">
        <f>ROUND(Levels!R10, 0)</f>
        <v>52</v>
      </c>
      <c r="H11" s="5">
        <f>ROUND(Levels!R10-Levels!N10, 1)</f>
        <v>0.9</v>
      </c>
      <c r="I11" s="5">
        <f>ROUND(Levels!R10-Levels!Q10, 1)</f>
        <v>0.3</v>
      </c>
      <c r="J11" t="s">
        <v>237</v>
      </c>
    </row>
    <row r="12" spans="2:10" x14ac:dyDescent="0.25">
      <c r="B12" t="str">
        <f>Levels!B11</f>
        <v>The Paddock 14</v>
      </c>
      <c r="C12" s="4">
        <f>Levels!N11</f>
        <v>51.2</v>
      </c>
      <c r="D12" s="4">
        <f>ROUND(Levels!P11, 0)</f>
        <v>51</v>
      </c>
      <c r="E12" s="5">
        <f>ROUND(Levels!P11-Levels!N11, 1)</f>
        <v>0</v>
      </c>
      <c r="F12" s="5">
        <f>ROUND(Levels!P11-Levels!O11, 1)</f>
        <v>0</v>
      </c>
      <c r="G12" s="4">
        <f>ROUND(Levels!R11, 0)</f>
        <v>52</v>
      </c>
      <c r="H12" s="5">
        <f>ROUND(Levels!R11-Levels!N11, 1)</f>
        <v>0.8</v>
      </c>
      <c r="I12" s="5">
        <f>ROUND(Levels!R11-Levels!Q11, 1)</f>
        <v>0.2</v>
      </c>
      <c r="J12" t="s">
        <v>237</v>
      </c>
    </row>
    <row r="13" spans="2:10" x14ac:dyDescent="0.25">
      <c r="B13" t="str">
        <f>Levels!B12</f>
        <v>The Paddock 17</v>
      </c>
      <c r="C13" s="4">
        <f>Levels!N12</f>
        <v>50.5</v>
      </c>
      <c r="D13" s="4">
        <f>ROUND(Levels!P12, 0)</f>
        <v>51</v>
      </c>
      <c r="E13" s="5">
        <f>ROUND(Levels!P12-Levels!N12, 1)</f>
        <v>0</v>
      </c>
      <c r="F13" s="5">
        <f>ROUND(Levels!P12-Levels!O12, 1)</f>
        <v>-0.1</v>
      </c>
      <c r="G13" s="4">
        <f>ROUND(Levels!R12, 0)</f>
        <v>51</v>
      </c>
      <c r="H13" s="5">
        <f>ROUND(Levels!R12-Levels!N12, 1)</f>
        <v>0.8</v>
      </c>
      <c r="I13" s="5">
        <f>ROUND(Levels!R12-Levels!Q12, 1)</f>
        <v>0.2</v>
      </c>
      <c r="J13" t="s">
        <v>237</v>
      </c>
    </row>
    <row r="14" spans="2:10" x14ac:dyDescent="0.25">
      <c r="B14" t="str">
        <f>Levels!B13</f>
        <v>North Close 14</v>
      </c>
      <c r="C14" s="4">
        <f>Levels!N13</f>
        <v>67.3</v>
      </c>
      <c r="D14" s="4">
        <f>ROUND(Levels!P13, 0)</f>
        <v>67</v>
      </c>
      <c r="E14" s="5">
        <f>ROUND(Levels!P13-Levels!N13, 1)</f>
        <v>0.1</v>
      </c>
      <c r="F14" s="5">
        <f>ROUND(Levels!P13-Levels!O13, 1)</f>
        <v>0</v>
      </c>
      <c r="G14" s="4">
        <f>ROUND(Levels!R13, 0)</f>
        <v>68</v>
      </c>
      <c r="H14" s="5">
        <f>ROUND(Levels!R13-Levels!N13, 1)</f>
        <v>0.8</v>
      </c>
      <c r="I14" s="5">
        <f>ROUND(Levels!R13-Levels!Q13, 1)</f>
        <v>0.3</v>
      </c>
      <c r="J14" t="s">
        <v>237</v>
      </c>
    </row>
    <row r="15" spans="2:10" x14ac:dyDescent="0.25">
      <c r="B15" t="str">
        <f>Levels!B14</f>
        <v>North Close15</v>
      </c>
      <c r="C15" s="4">
        <f>Levels!N14</f>
        <v>59.5</v>
      </c>
      <c r="D15" s="4">
        <f>ROUND(Levels!P14, 0)</f>
        <v>59</v>
      </c>
      <c r="E15" s="5">
        <f>ROUND(Levels!P14-Levels!N14, 1)</f>
        <v>-0.1</v>
      </c>
      <c r="F15" s="5">
        <f>ROUND(Levels!P14-Levels!O14, 1)</f>
        <v>-0.2</v>
      </c>
      <c r="G15" s="4">
        <f>ROUND(Levels!R14, 0)</f>
        <v>60</v>
      </c>
      <c r="H15" s="5">
        <f>ROUND(Levels!R14-Levels!N14, 1)</f>
        <v>0.7</v>
      </c>
      <c r="I15" s="5">
        <f>ROUND(Levels!R14-Levels!Q14, 1)</f>
        <v>1.3</v>
      </c>
      <c r="J15" t="s">
        <v>237</v>
      </c>
    </row>
    <row r="16" spans="2:10" x14ac:dyDescent="0.25">
      <c r="B16" t="str">
        <f>Levels!B15</f>
        <v>North Close 7</v>
      </c>
      <c r="C16" s="4">
        <f>Levels!N15</f>
        <v>56.6</v>
      </c>
      <c r="D16" s="4">
        <f>ROUND(Levels!P15, 0)</f>
        <v>56</v>
      </c>
      <c r="E16" s="5">
        <f>ROUND(Levels!P15-Levels!N15, 1)</f>
        <v>-0.5</v>
      </c>
      <c r="F16" s="5">
        <f>ROUND(Levels!P15-Levels!O15, 1)</f>
        <v>-0.6</v>
      </c>
      <c r="G16" s="4">
        <f>ROUND(Levels!R15, 0)</f>
        <v>57</v>
      </c>
      <c r="H16" s="5">
        <f>ROUND(Levels!R15-Levels!N15, 1)</f>
        <v>0.2</v>
      </c>
      <c r="I16" s="5">
        <f>ROUND(Levels!R15-Levels!Q15, 1)</f>
        <v>-0.1</v>
      </c>
      <c r="J16" t="s">
        <v>237</v>
      </c>
    </row>
    <row r="17" spans="2:10" x14ac:dyDescent="0.25">
      <c r="B17" t="str">
        <f>Levels!B16</f>
        <v>North Close 19</v>
      </c>
      <c r="C17" s="4">
        <f>Levels!N16</f>
        <v>61.8</v>
      </c>
      <c r="D17" s="4">
        <f>ROUND(Levels!P16, 0)</f>
        <v>62</v>
      </c>
      <c r="E17" s="5">
        <f>ROUND(Levels!P16-Levels!N16, 1)</f>
        <v>-0.1</v>
      </c>
      <c r="F17" s="5">
        <f>ROUND(Levels!P16-Levels!O16, 1)</f>
        <v>-0.1</v>
      </c>
      <c r="G17" s="4">
        <f>ROUND(Levels!R16, 0)</f>
        <v>63</v>
      </c>
      <c r="H17" s="5">
        <f>ROUND(Levels!R16-Levels!N16, 1)</f>
        <v>0.7</v>
      </c>
      <c r="I17" s="5">
        <f>ROUND(Levels!R16-Levels!Q16, 1)</f>
        <v>0.2</v>
      </c>
      <c r="J17" t="s">
        <v>237</v>
      </c>
    </row>
    <row r="18" spans="2:10" x14ac:dyDescent="0.25">
      <c r="B18" t="str">
        <f>Levels!B17</f>
        <v>North Close 22</v>
      </c>
      <c r="C18" s="4">
        <f>Levels!N17</f>
        <v>62.9</v>
      </c>
      <c r="D18" s="4">
        <f>ROUND(Levels!P17, 0)</f>
        <v>63</v>
      </c>
      <c r="E18" s="5">
        <f>ROUND(Levels!P17-Levels!N17, 1)</f>
        <v>-0.3</v>
      </c>
      <c r="F18" s="5">
        <f>ROUND(Levels!P17-Levels!O17, 1)</f>
        <v>-0.3</v>
      </c>
      <c r="G18" s="4">
        <f>ROUND(Levels!R17, 0)</f>
        <v>63</v>
      </c>
      <c r="H18" s="5">
        <f>ROUND(Levels!R17-Levels!N17, 1)</f>
        <v>0.5</v>
      </c>
      <c r="I18" s="5">
        <f>ROUND(Levels!R17-Levels!Q17, 1)</f>
        <v>0.1</v>
      </c>
      <c r="J18" t="s">
        <v>237</v>
      </c>
    </row>
    <row r="19" spans="2:10" x14ac:dyDescent="0.25">
      <c r="B19" t="str">
        <f>Levels!B18</f>
        <v>North Close 1</v>
      </c>
      <c r="C19" s="4">
        <f>Levels!N18</f>
        <v>64.599999999999994</v>
      </c>
      <c r="D19" s="4">
        <f>ROUND(Levels!P18, 0)</f>
        <v>64</v>
      </c>
      <c r="E19" s="5">
        <f>ROUND(Levels!P18-Levels!N18, 1)</f>
        <v>-0.4</v>
      </c>
      <c r="F19" s="5">
        <f>ROUND(Levels!P18-Levels!O18, 1)</f>
        <v>-0.4</v>
      </c>
      <c r="G19" s="4">
        <f>ROUND(Levels!R18, 0)</f>
        <v>65</v>
      </c>
      <c r="H19" s="5">
        <f>ROUND(Levels!R18-Levels!N18, 1)</f>
        <v>0.3</v>
      </c>
      <c r="I19" s="5">
        <f>ROUND(Levels!R18-Levels!Q18, 1)</f>
        <v>0</v>
      </c>
      <c r="J19" t="s">
        <v>237</v>
      </c>
    </row>
    <row r="20" spans="2:10" x14ac:dyDescent="0.25">
      <c r="B20" t="str">
        <f>Levels!B19</f>
        <v>North Lane 33</v>
      </c>
      <c r="C20" s="4">
        <f>Levels!N19</f>
        <v>59.1</v>
      </c>
      <c r="D20" s="4">
        <f>ROUND(Levels!P19, 0)</f>
        <v>55</v>
      </c>
      <c r="E20" s="5">
        <f>ROUND(Levels!P19-Levels!N19, 1)</f>
        <v>-3.8</v>
      </c>
      <c r="F20" s="5">
        <f>ROUND(Levels!P19-Levels!O19, 1)</f>
        <v>-3.9</v>
      </c>
      <c r="G20" s="4">
        <f>ROUND(Levels!R19, 0)</f>
        <v>56</v>
      </c>
      <c r="H20" s="5">
        <f>ROUND(Levels!R19-Levels!N19, 1)</f>
        <v>-3</v>
      </c>
      <c r="I20" s="5">
        <f>ROUND(Levels!R19-Levels!Q19, 1)</f>
        <v>-4</v>
      </c>
      <c r="J20" t="s">
        <v>237</v>
      </c>
    </row>
    <row r="21" spans="2:10" x14ac:dyDescent="0.25">
      <c r="B21" t="str">
        <f>Levels!B20</f>
        <v>North Lane 25</v>
      </c>
      <c r="C21" s="4">
        <f>Levels!N20</f>
        <v>58.6</v>
      </c>
      <c r="D21" s="4">
        <f>ROUND(Levels!P20, 0)</f>
        <v>55</v>
      </c>
      <c r="E21" s="5">
        <f>ROUND(Levels!P20-Levels!N20, 1)</f>
        <v>-3.7</v>
      </c>
      <c r="F21" s="5">
        <f>ROUND(Levels!P20-Levels!O20, 1)</f>
        <v>-3.8</v>
      </c>
      <c r="G21" s="4">
        <f>ROUND(Levels!R20, 0)</f>
        <v>56</v>
      </c>
      <c r="H21" s="5">
        <f>ROUND(Levels!R20-Levels!N20, 1)</f>
        <v>-2.9</v>
      </c>
      <c r="I21" s="5">
        <f>ROUND(Levels!R20-Levels!Q20, 1)</f>
        <v>-3.8</v>
      </c>
      <c r="J21" t="s">
        <v>237</v>
      </c>
    </row>
    <row r="22" spans="2:10" x14ac:dyDescent="0.25">
      <c r="B22" t="str">
        <f>Levels!B21</f>
        <v>North Lane 15</v>
      </c>
      <c r="C22" s="4">
        <f>Levels!N21</f>
        <v>59.4</v>
      </c>
      <c r="D22" s="4">
        <f>ROUND(Levels!P21, 0)</f>
        <v>56</v>
      </c>
      <c r="E22" s="5">
        <f>ROUND(Levels!P21-Levels!N21, 1)</f>
        <v>-3.1</v>
      </c>
      <c r="F22" s="5">
        <f>ROUND(Levels!P21-Levels!O21, 1)</f>
        <v>-3.1</v>
      </c>
      <c r="G22" s="4">
        <f>ROUND(Levels!R21, 0)</f>
        <v>57</v>
      </c>
      <c r="H22" s="5">
        <f>ROUND(Levels!R21-Levels!N21, 1)</f>
        <v>-2.2999999999999998</v>
      </c>
      <c r="I22" s="5">
        <f>ROUND(Levels!R21-Levels!Q21, 1)</f>
        <v>-3.1</v>
      </c>
      <c r="J22" t="s">
        <v>237</v>
      </c>
    </row>
    <row r="23" spans="2:10" x14ac:dyDescent="0.25">
      <c r="B23" t="str">
        <f>Levels!B22</f>
        <v>North Lane 11</v>
      </c>
      <c r="C23" s="4">
        <f>Levels!N22</f>
        <v>59.9</v>
      </c>
      <c r="D23" s="4">
        <f>ROUND(Levels!P22, 0)</f>
        <v>57</v>
      </c>
      <c r="E23" s="5">
        <f>ROUND(Levels!P22-Levels!N22, 1)</f>
        <v>-3.1</v>
      </c>
      <c r="F23" s="5">
        <f>ROUND(Levels!P22-Levels!O22, 1)</f>
        <v>-3.1</v>
      </c>
      <c r="G23" s="4">
        <f>ROUND(Levels!R22, 0)</f>
        <v>58</v>
      </c>
      <c r="H23" s="5">
        <f>ROUND(Levels!R22-Levels!N22, 1)</f>
        <v>-2.2999999999999998</v>
      </c>
      <c r="I23" s="5">
        <f>ROUND(Levels!R22-Levels!Q22, 1)</f>
        <v>-3.1</v>
      </c>
      <c r="J23" t="s">
        <v>237</v>
      </c>
    </row>
    <row r="24" spans="2:10" x14ac:dyDescent="0.25">
      <c r="B24" t="str">
        <f>Levels!B23</f>
        <v>North Lane 7</v>
      </c>
      <c r="C24" s="4">
        <f>Levels!N23</f>
        <v>60.3</v>
      </c>
      <c r="D24" s="4">
        <f>ROUND(Levels!P23, 0)</f>
        <v>57</v>
      </c>
      <c r="E24" s="5">
        <f>ROUND(Levels!P23-Levels!N23, 1)</f>
        <v>-3.7</v>
      </c>
      <c r="F24" s="5">
        <f>ROUND(Levels!P23-Levels!O23, 1)</f>
        <v>-3.8</v>
      </c>
      <c r="G24" s="4">
        <f>ROUND(Levels!R23, 0)</f>
        <v>57</v>
      </c>
      <c r="H24" s="5">
        <f>ROUND(Levels!R23-Levels!N23, 1)</f>
        <v>-3</v>
      </c>
      <c r="I24" s="5">
        <f>ROUND(Levels!R23-Levels!Q23, 1)</f>
        <v>-3.9</v>
      </c>
      <c r="J24" t="s">
        <v>237</v>
      </c>
    </row>
    <row r="25" spans="2:10" x14ac:dyDescent="0.25">
      <c r="B25" t="str">
        <f>Levels!B24</f>
        <v>Midbec</v>
      </c>
      <c r="C25" s="4">
        <f>Levels!N24</f>
        <v>59</v>
      </c>
      <c r="D25" s="4">
        <f>ROUND(Levels!P24, 0)</f>
        <v>56</v>
      </c>
      <c r="E25" s="5">
        <f>ROUND(Levels!P24-Levels!N24, 1)</f>
        <v>-3.4</v>
      </c>
      <c r="F25" s="5">
        <f>ROUND(Levels!P24-Levels!O24, 1)</f>
        <v>-3.5</v>
      </c>
      <c r="G25" s="4">
        <f>ROUND(Levels!R24, 0)</f>
        <v>56</v>
      </c>
      <c r="H25" s="5">
        <f>ROUND(Levels!R24-Levels!N24, 1)</f>
        <v>-2.7</v>
      </c>
      <c r="I25" s="5">
        <f>ROUND(Levels!R24-Levels!Q24, 1)</f>
        <v>-3.5</v>
      </c>
      <c r="J25" t="s">
        <v>237</v>
      </c>
    </row>
    <row r="26" spans="2:10" x14ac:dyDescent="0.25">
      <c r="B26" t="str">
        <f>Levels!B25</f>
        <v>Ashgill</v>
      </c>
      <c r="C26" s="4">
        <f>Levels!N25</f>
        <v>59.1</v>
      </c>
      <c r="D26" s="4">
        <f>ROUND(Levels!P25, 0)</f>
        <v>56</v>
      </c>
      <c r="E26" s="5">
        <f>ROUND(Levels!P25-Levels!N25, 1)</f>
        <v>-3.5</v>
      </c>
      <c r="F26" s="5">
        <f>ROUND(Levels!P25-Levels!O25, 1)</f>
        <v>-3.6</v>
      </c>
      <c r="G26" s="4">
        <f>ROUND(Levels!R25, 0)</f>
        <v>56</v>
      </c>
      <c r="H26" s="5">
        <f>ROUND(Levels!R25-Levels!N25, 1)</f>
        <v>-2.8</v>
      </c>
      <c r="I26" s="5">
        <f>ROUND(Levels!R25-Levels!Q25, 1)</f>
        <v>-3.7</v>
      </c>
      <c r="J26" t="s">
        <v>237</v>
      </c>
    </row>
    <row r="27" spans="2:10" x14ac:dyDescent="0.25">
      <c r="B27" t="str">
        <f>Levels!B26</f>
        <v>My Dene</v>
      </c>
      <c r="C27" s="4">
        <f>Levels!N26</f>
        <v>58.6</v>
      </c>
      <c r="D27" s="4">
        <f>ROUND(Levels!P26, 0)</f>
        <v>55</v>
      </c>
      <c r="E27" s="5">
        <f>ROUND(Levels!P26-Levels!N26, 1)</f>
        <v>-3.3</v>
      </c>
      <c r="F27" s="5">
        <f>ROUND(Levels!P26-Levels!O26, 1)</f>
        <v>-3.3</v>
      </c>
      <c r="G27" s="4">
        <f>ROUND(Levels!R26, 0)</f>
        <v>56</v>
      </c>
      <c r="H27" s="5">
        <f>ROUND(Levels!R26-Levels!N26, 1)</f>
        <v>-2.5</v>
      </c>
      <c r="I27" s="5">
        <f>ROUND(Levels!R26-Levels!Q26, 1)</f>
        <v>-3.3</v>
      </c>
      <c r="J27" t="s">
        <v>237</v>
      </c>
    </row>
    <row r="28" spans="2:10" x14ac:dyDescent="0.25">
      <c r="B28" t="str">
        <f>Levels!B27</f>
        <v>Belmont</v>
      </c>
      <c r="C28" s="4">
        <f>Levels!N27</f>
        <v>63.4</v>
      </c>
      <c r="D28" s="4">
        <f>ROUND(Levels!P27, 0)</f>
        <v>58</v>
      </c>
      <c r="E28" s="5">
        <f>ROUND(Levels!P27-Levels!N27, 1)</f>
        <v>-5.4</v>
      </c>
      <c r="F28" s="5">
        <f>ROUND(Levels!P27-Levels!O27, 1)</f>
        <v>-5.4</v>
      </c>
      <c r="G28" s="4">
        <f>ROUND(Levels!R27, 0)</f>
        <v>59</v>
      </c>
      <c r="H28" s="5">
        <f>ROUND(Levels!R27-Levels!N27, 1)</f>
        <v>-4.5999999999999996</v>
      </c>
      <c r="I28" s="5">
        <f>ROUND(Levels!R27-Levels!Q27, 1)</f>
        <v>-5.6</v>
      </c>
      <c r="J28" t="s">
        <v>237</v>
      </c>
    </row>
    <row r="29" spans="2:10" x14ac:dyDescent="0.25">
      <c r="B29" t="str">
        <f>Levels!B28</f>
        <v>Hillcrest Grove 2</v>
      </c>
      <c r="C29" s="4">
        <f>Levels!N28</f>
        <v>64.3</v>
      </c>
      <c r="D29" s="4">
        <f>ROUND(Levels!P28, 0)</f>
        <v>64</v>
      </c>
      <c r="E29" s="5">
        <f>ROUND(Levels!P28-Levels!N28, 1)</f>
        <v>0</v>
      </c>
      <c r="F29" s="5">
        <f>ROUND(Levels!P28-Levels!O28, 1)</f>
        <v>-0.1</v>
      </c>
      <c r="G29" s="4">
        <f>ROUND(Levels!R28, 0)</f>
        <v>65</v>
      </c>
      <c r="H29" s="5">
        <f>ROUND(Levels!R28-Levels!N28, 1)</f>
        <v>0.7</v>
      </c>
      <c r="I29" s="5">
        <f>ROUND(Levels!R28-Levels!Q28, 1)</f>
        <v>0.2</v>
      </c>
      <c r="J29" t="s">
        <v>237</v>
      </c>
    </row>
    <row r="30" spans="2:10" x14ac:dyDescent="0.25">
      <c r="B30" t="str">
        <f>Levels!B29</f>
        <v>Hillcrest Grove 10</v>
      </c>
      <c r="C30" s="4">
        <f>Levels!N29</f>
        <v>61.4</v>
      </c>
      <c r="D30" s="4">
        <f>ROUND(Levels!P29, 0)</f>
        <v>62</v>
      </c>
      <c r="E30" s="5">
        <f>ROUND(Levels!P29-Levels!N29, 1)</f>
        <v>0.1</v>
      </c>
      <c r="F30" s="5">
        <f>ROUND(Levels!P29-Levels!O29, 1)</f>
        <v>0</v>
      </c>
      <c r="G30" s="4">
        <f>ROUND(Levels!R29, 0)</f>
        <v>62</v>
      </c>
      <c r="H30" s="5">
        <f>ROUND(Levels!R29-Levels!N29, 1)</f>
        <v>0.8</v>
      </c>
      <c r="I30" s="5">
        <f>ROUND(Levels!R29-Levels!Q29, 1)</f>
        <v>0.2</v>
      </c>
      <c r="J30" t="s">
        <v>237</v>
      </c>
    </row>
    <row r="31" spans="2:10" x14ac:dyDescent="0.25">
      <c r="B31" t="str">
        <f>Levels!B30</f>
        <v>Floreat</v>
      </c>
      <c r="C31" s="4">
        <f>Levels!N30</f>
        <v>65.900000000000006</v>
      </c>
      <c r="D31" s="4">
        <f>ROUND(Levels!P30, 0)</f>
        <v>66</v>
      </c>
      <c r="E31" s="5">
        <f>ROUND(Levels!P30-Levels!N30, 1)</f>
        <v>-0.3</v>
      </c>
      <c r="F31" s="5">
        <f>ROUND(Levels!P30-Levels!O30, 1)</f>
        <v>-0.4</v>
      </c>
      <c r="G31" s="4">
        <f>ROUND(Levels!R30, 0)</f>
        <v>66</v>
      </c>
      <c r="H31" s="5">
        <f>ROUND(Levels!R30-Levels!N30, 1)</f>
        <v>0.4</v>
      </c>
      <c r="I31" s="5">
        <f>ROUND(Levels!R30-Levels!Q30, 1)</f>
        <v>-0.1</v>
      </c>
      <c r="J31" t="s">
        <v>237</v>
      </c>
    </row>
    <row r="32" spans="2:10" x14ac:dyDescent="0.25">
      <c r="B32" t="str">
        <f>Levels!B31</f>
        <v>Domick</v>
      </c>
      <c r="C32" s="4">
        <f>Levels!N31</f>
        <v>66</v>
      </c>
      <c r="D32" s="4">
        <f>ROUND(Levels!P31, 0)</f>
        <v>66</v>
      </c>
      <c r="E32" s="5">
        <f>ROUND(Levels!P31-Levels!N31, 1)</f>
        <v>-0.4</v>
      </c>
      <c r="F32" s="5">
        <f>ROUND(Levels!P31-Levels!O31, 1)</f>
        <v>-0.4</v>
      </c>
      <c r="G32" s="4">
        <f>ROUND(Levels!R31, 0)</f>
        <v>66</v>
      </c>
      <c r="H32" s="5">
        <f>ROUND(Levels!R31-Levels!N31, 1)</f>
        <v>0.3</v>
      </c>
      <c r="I32" s="5">
        <f>ROUND(Levels!R31-Levels!Q31, 1)</f>
        <v>-0.1</v>
      </c>
      <c r="J32" t="s">
        <v>237</v>
      </c>
    </row>
    <row r="33" spans="2:10" x14ac:dyDescent="0.25">
      <c r="B33" t="str">
        <f>Levels!B32</f>
        <v>St Peter's Primary School</v>
      </c>
      <c r="C33" s="4">
        <f>Levels!N32</f>
        <v>65.900000000000006</v>
      </c>
      <c r="D33" s="4">
        <f>ROUND(Levels!P32, 0)</f>
        <v>65</v>
      </c>
      <c r="E33" s="5">
        <f>ROUND(Levels!P32-Levels!N32, 1)</f>
        <v>-0.5</v>
      </c>
      <c r="F33" s="5">
        <f>ROUND(Levels!P32-Levels!O32, 1)</f>
        <v>-0.5</v>
      </c>
      <c r="G33" s="4">
        <f>ROUND(Levels!R32, 0)</f>
        <v>66</v>
      </c>
      <c r="H33" s="5">
        <f>ROUND(Levels!R32-Levels!N32, 1)</f>
        <v>0.2</v>
      </c>
      <c r="I33" s="5">
        <f>ROUND(Levels!R32-Levels!Q32, 1)</f>
        <v>-0.4</v>
      </c>
      <c r="J33" t="s">
        <v>237</v>
      </c>
    </row>
    <row r="34" spans="2:10" x14ac:dyDescent="0.25">
      <c r="B34" t="str">
        <f>Levels!B33</f>
        <v>Bareen</v>
      </c>
      <c r="C34" s="4">
        <f>Levels!N33</f>
        <v>65.2</v>
      </c>
      <c r="D34" s="4">
        <f>ROUND(Levels!P33, 0)</f>
        <v>64</v>
      </c>
      <c r="E34" s="5">
        <f>ROUND(Levels!P33-Levels!N33, 1)</f>
        <v>-0.8</v>
      </c>
      <c r="F34" s="5">
        <f>ROUND(Levels!P33-Levels!O33, 1)</f>
        <v>-0.9</v>
      </c>
      <c r="G34" s="4">
        <f>ROUND(Levels!R33, 0)</f>
        <v>65</v>
      </c>
      <c r="H34" s="5">
        <f>ROUND(Levels!R33-Levels!N33, 1)</f>
        <v>0</v>
      </c>
      <c r="I34" s="5">
        <f>ROUND(Levels!R33-Levels!Q33, 1)</f>
        <v>-0.7</v>
      </c>
      <c r="J34" t="s">
        <v>237</v>
      </c>
    </row>
    <row r="35" spans="2:10" x14ac:dyDescent="0.25">
      <c r="B35" t="str">
        <f>Levels!B34</f>
        <v>Gerrans</v>
      </c>
      <c r="C35" s="4">
        <f>Levels!N34</f>
        <v>65.099999999999994</v>
      </c>
      <c r="D35" s="4">
        <f>ROUND(Levels!P34, 0)</f>
        <v>64</v>
      </c>
      <c r="E35" s="5">
        <f>ROUND(Levels!P34-Levels!N34, 1)</f>
        <v>-0.9</v>
      </c>
      <c r="F35" s="5">
        <f>ROUND(Levels!P34-Levels!O34, 1)</f>
        <v>-1</v>
      </c>
      <c r="G35" s="4">
        <f>ROUND(Levels!R34, 0)</f>
        <v>65</v>
      </c>
      <c r="H35" s="5">
        <f>ROUND(Levels!R34-Levels!N34, 1)</f>
        <v>-0.1</v>
      </c>
      <c r="I35" s="5">
        <f>ROUND(Levels!R34-Levels!Q34, 1)</f>
        <v>-0.8</v>
      </c>
      <c r="J35" t="s">
        <v>237</v>
      </c>
    </row>
    <row r="36" spans="2:10" x14ac:dyDescent="0.25">
      <c r="B36" t="str">
        <f>Levels!B35</f>
        <v>Green Ingle</v>
      </c>
      <c r="C36" s="4">
        <f>Levels!N35</f>
        <v>64.900000000000006</v>
      </c>
      <c r="D36" s="4">
        <f>ROUND(Levels!P35, 0)</f>
        <v>64</v>
      </c>
      <c r="E36" s="5">
        <f>ROUND(Levels!P35-Levels!N35, 1)</f>
        <v>-0.9</v>
      </c>
      <c r="F36" s="5">
        <f>ROUND(Levels!P35-Levels!O35, 1)</f>
        <v>-1</v>
      </c>
      <c r="G36" s="4">
        <f>ROUND(Levels!R35, 0)</f>
        <v>65</v>
      </c>
      <c r="H36" s="5">
        <f>ROUND(Levels!R35-Levels!N35, 1)</f>
        <v>-0.1</v>
      </c>
      <c r="I36" s="5">
        <f>ROUND(Levels!R35-Levels!Q35, 1)</f>
        <v>-0.9</v>
      </c>
      <c r="J36" t="s">
        <v>237</v>
      </c>
    </row>
    <row r="37" spans="2:10" x14ac:dyDescent="0.25">
      <c r="B37" t="str">
        <f>Levels!B36</f>
        <v>Samarkand</v>
      </c>
      <c r="C37" s="4">
        <f>Levels!N36</f>
        <v>65</v>
      </c>
      <c r="D37" s="4">
        <f>ROUND(Levels!P36, 0)</f>
        <v>64</v>
      </c>
      <c r="E37" s="5">
        <f>ROUND(Levels!P36-Levels!N36, 1)</f>
        <v>-0.9</v>
      </c>
      <c r="F37" s="5">
        <f>ROUND(Levels!P36-Levels!O36, 1)</f>
        <v>-1</v>
      </c>
      <c r="G37" s="4">
        <f>ROUND(Levels!R36, 0)</f>
        <v>65</v>
      </c>
      <c r="H37" s="5">
        <f>ROUND(Levels!R36-Levels!N36, 1)</f>
        <v>-0.2</v>
      </c>
      <c r="I37" s="5">
        <f>ROUND(Levels!R36-Levels!Q36, 1)</f>
        <v>-1</v>
      </c>
      <c r="J37" t="s">
        <v>237</v>
      </c>
    </row>
    <row r="38" spans="2:10" x14ac:dyDescent="0.25">
      <c r="B38" t="str">
        <f>Levels!B37</f>
        <v>Lamorna</v>
      </c>
      <c r="C38" s="4">
        <f>Levels!N37</f>
        <v>64.900000000000006</v>
      </c>
      <c r="D38" s="4">
        <f>ROUND(Levels!P37, 0)</f>
        <v>64</v>
      </c>
      <c r="E38" s="5">
        <f>ROUND(Levels!P37-Levels!N37, 1)</f>
        <v>-1</v>
      </c>
      <c r="F38" s="5">
        <f>ROUND(Levels!P37-Levels!O37, 1)</f>
        <v>-1</v>
      </c>
      <c r="G38" s="4">
        <f>ROUND(Levels!R37, 0)</f>
        <v>65</v>
      </c>
      <c r="H38" s="5">
        <f>ROUND(Levels!R37-Levels!N37, 1)</f>
        <v>-0.3</v>
      </c>
      <c r="I38" s="5">
        <f>ROUND(Levels!R37-Levels!Q37, 1)</f>
        <v>-1.1000000000000001</v>
      </c>
      <c r="J38" t="s">
        <v>237</v>
      </c>
    </row>
    <row r="39" spans="2:10" x14ac:dyDescent="0.25">
      <c r="B39" t="str">
        <f>Levels!B38</f>
        <v>the Cedars</v>
      </c>
      <c r="C39" s="4">
        <f>Levels!N38</f>
        <v>64.8</v>
      </c>
      <c r="D39" s="4">
        <f>ROUND(Levels!P38, 0)</f>
        <v>64</v>
      </c>
      <c r="E39" s="5">
        <f>ROUND(Levels!P38-Levels!N38, 1)</f>
        <v>-1</v>
      </c>
      <c r="F39" s="5">
        <f>ROUND(Levels!P38-Levels!O38, 1)</f>
        <v>-1.1000000000000001</v>
      </c>
      <c r="G39" s="4">
        <f>ROUND(Levels!R38, 0)</f>
        <v>65</v>
      </c>
      <c r="H39" s="5">
        <f>ROUND(Levels!R38-Levels!N38, 1)</f>
        <v>-0.2</v>
      </c>
      <c r="I39" s="5">
        <f>ROUND(Levels!R38-Levels!Q38, 1)</f>
        <v>-1</v>
      </c>
      <c r="J39" t="s">
        <v>237</v>
      </c>
    </row>
    <row r="40" spans="2:10" x14ac:dyDescent="0.25">
      <c r="B40" t="str">
        <f>Levels!B39</f>
        <v>North Lane 16</v>
      </c>
      <c r="C40" s="4">
        <f>Levels!N39</f>
        <v>64.8</v>
      </c>
      <c r="D40" s="4">
        <f>ROUND(Levels!P39, 0)</f>
        <v>64</v>
      </c>
      <c r="E40" s="5">
        <f>ROUND(Levels!P39-Levels!N39, 1)</f>
        <v>-1.1000000000000001</v>
      </c>
      <c r="F40" s="5">
        <f>ROUND(Levels!P39-Levels!O39, 1)</f>
        <v>-1.2</v>
      </c>
      <c r="G40" s="4">
        <f>ROUND(Levels!R39, 0)</f>
        <v>64</v>
      </c>
      <c r="H40" s="5">
        <f>ROUND(Levels!R39-Levels!N39, 1)</f>
        <v>-0.4</v>
      </c>
      <c r="I40" s="5">
        <f>ROUND(Levels!R39-Levels!Q39, 1)</f>
        <v>-1.3</v>
      </c>
      <c r="J40" t="s">
        <v>237</v>
      </c>
    </row>
    <row r="41" spans="2:10" x14ac:dyDescent="0.25">
      <c r="B41" t="str">
        <f>Levels!B40</f>
        <v>Pringles</v>
      </c>
      <c r="C41" s="4">
        <f>Levels!N40</f>
        <v>63.2</v>
      </c>
      <c r="D41" s="4">
        <f>ROUND(Levels!P40, 0)</f>
        <v>63</v>
      </c>
      <c r="E41" s="5">
        <f>ROUND(Levels!P40-Levels!N40, 1)</f>
        <v>-0.6</v>
      </c>
      <c r="F41" s="5">
        <f>ROUND(Levels!P40-Levels!O40, 1)</f>
        <v>-0.7</v>
      </c>
      <c r="G41" s="4">
        <f>ROUND(Levels!R40, 0)</f>
        <v>63</v>
      </c>
      <c r="H41" s="5">
        <f>ROUND(Levels!R40-Levels!N40, 1)</f>
        <v>0.1</v>
      </c>
      <c r="I41" s="5">
        <f>ROUND(Levels!R40-Levels!Q40, 1)</f>
        <v>-0.6</v>
      </c>
      <c r="J41" t="s">
        <v>237</v>
      </c>
    </row>
    <row r="42" spans="2:10" x14ac:dyDescent="0.25">
      <c r="B42" t="str">
        <f>Levels!B41</f>
        <v>Dewondell</v>
      </c>
      <c r="C42" s="4">
        <f>Levels!N41</f>
        <v>64.2</v>
      </c>
      <c r="D42" s="4">
        <f>ROUND(Levels!P41, 0)</f>
        <v>63</v>
      </c>
      <c r="E42" s="5">
        <f>ROUND(Levels!P41-Levels!N41, 1)</f>
        <v>-0.9</v>
      </c>
      <c r="F42" s="5">
        <f>ROUND(Levels!P41-Levels!O41, 1)</f>
        <v>-0.9</v>
      </c>
      <c r="G42" s="4">
        <f>ROUND(Levels!R41, 0)</f>
        <v>64</v>
      </c>
      <c r="H42" s="5">
        <f>ROUND(Levels!R41-Levels!N41, 1)</f>
        <v>-0.2</v>
      </c>
      <c r="I42" s="5">
        <f>ROUND(Levels!R41-Levels!Q41, 1)</f>
        <v>-0.9</v>
      </c>
      <c r="J42" t="s">
        <v>237</v>
      </c>
    </row>
    <row r="43" spans="2:10" x14ac:dyDescent="0.25">
      <c r="B43" t="str">
        <f>Levels!B42</f>
        <v>North Lane 10</v>
      </c>
      <c r="C43" s="4">
        <f>Levels!N42</f>
        <v>64.7</v>
      </c>
      <c r="D43" s="4">
        <f>ROUND(Levels!P42, 0)</f>
        <v>64</v>
      </c>
      <c r="E43" s="5">
        <f>ROUND(Levels!P42-Levels!N42, 1)</f>
        <v>-0.9</v>
      </c>
      <c r="F43" s="5">
        <f>ROUND(Levels!P42-Levels!O42, 1)</f>
        <v>-1</v>
      </c>
      <c r="G43" s="4">
        <f>ROUND(Levels!R42, 0)</f>
        <v>65</v>
      </c>
      <c r="H43" s="5">
        <f>ROUND(Levels!R42-Levels!N42, 1)</f>
        <v>-0.2</v>
      </c>
      <c r="I43" s="5">
        <f>ROUND(Levels!R42-Levels!Q42, 1)</f>
        <v>-1</v>
      </c>
      <c r="J43" t="s">
        <v>237</v>
      </c>
    </row>
    <row r="44" spans="2:10" x14ac:dyDescent="0.25">
      <c r="B44" t="str">
        <f>Levels!B43</f>
        <v>North Lane 8</v>
      </c>
      <c r="C44" s="4">
        <f>Levels!N43</f>
        <v>65.2</v>
      </c>
      <c r="D44" s="4">
        <f>ROUND(Levels!P43, 0)</f>
        <v>64</v>
      </c>
      <c r="E44" s="5">
        <f>ROUND(Levels!P43-Levels!N43, 1)</f>
        <v>-1.6</v>
      </c>
      <c r="F44" s="5">
        <f>ROUND(Levels!P43-Levels!O43, 1)</f>
        <v>-1.6</v>
      </c>
      <c r="G44" s="4">
        <f>ROUND(Levels!R43, 0)</f>
        <v>64</v>
      </c>
      <c r="H44" s="5">
        <f>ROUND(Levels!R43-Levels!N43, 1)</f>
        <v>-0.9</v>
      </c>
      <c r="I44" s="5">
        <f>ROUND(Levels!R43-Levels!Q43, 1)</f>
        <v>-1.8</v>
      </c>
      <c r="J44" t="s">
        <v>237</v>
      </c>
    </row>
    <row r="45" spans="2:10" x14ac:dyDescent="0.25">
      <c r="B45" t="str">
        <f>Levels!B44</f>
        <v>North Lane 2</v>
      </c>
      <c r="C45" s="4">
        <f>Levels!N44</f>
        <v>64.099999999999994</v>
      </c>
      <c r="D45" s="4">
        <f>ROUND(Levels!P44, 0)</f>
        <v>63</v>
      </c>
      <c r="E45" s="5">
        <f>ROUND(Levels!P44-Levels!N44, 1)</f>
        <v>-1.6</v>
      </c>
      <c r="F45" s="5">
        <f>ROUND(Levels!P44-Levels!O44, 1)</f>
        <v>-1.7</v>
      </c>
      <c r="G45" s="4">
        <f>ROUND(Levels!R44, 0)</f>
        <v>63</v>
      </c>
      <c r="H45" s="5">
        <f>ROUND(Levels!R44-Levels!N44, 1)</f>
        <v>-0.9</v>
      </c>
      <c r="I45" s="5">
        <f>ROUND(Levels!R44-Levels!Q44, 1)</f>
        <v>-1.8</v>
      </c>
      <c r="J45" t="s">
        <v>237</v>
      </c>
    </row>
    <row r="46" spans="2:10" x14ac:dyDescent="0.25">
      <c r="B46" t="str">
        <f>Levels!B45</f>
        <v>Ashlea</v>
      </c>
      <c r="C46" s="4">
        <f>Levels!N45</f>
        <v>64.8</v>
      </c>
      <c r="D46" s="4">
        <f>ROUND(Levels!P45, 0)</f>
        <v>63</v>
      </c>
      <c r="E46" s="5">
        <f>ROUND(Levels!P45-Levels!N45, 1)</f>
        <v>-1.6</v>
      </c>
      <c r="F46" s="5">
        <f>ROUND(Levels!P45-Levels!O45, 1)</f>
        <v>-1.6</v>
      </c>
      <c r="G46" s="4">
        <f>ROUND(Levels!R45, 0)</f>
        <v>64</v>
      </c>
      <c r="H46" s="5">
        <f>ROUND(Levels!R45-Levels!N45, 1)</f>
        <v>-0.9</v>
      </c>
      <c r="I46" s="5">
        <f>ROUND(Levels!R45-Levels!Q45, 1)</f>
        <v>-1.7</v>
      </c>
      <c r="J46" t="s">
        <v>237</v>
      </c>
    </row>
    <row r="47" spans="2:10" x14ac:dyDescent="0.25">
      <c r="B47" t="str">
        <f>Levels!B46</f>
        <v>Veolan</v>
      </c>
      <c r="C47" s="4">
        <f>Levels!N46</f>
        <v>64.5</v>
      </c>
      <c r="D47" s="4">
        <f>ROUND(Levels!P46, 0)</f>
        <v>63</v>
      </c>
      <c r="E47" s="5">
        <f>ROUND(Levels!P46-Levels!N46, 1)</f>
        <v>-1.7</v>
      </c>
      <c r="F47" s="5">
        <f>ROUND(Levels!P46-Levels!O46, 1)</f>
        <v>-1.7</v>
      </c>
      <c r="G47" s="4">
        <f>ROUND(Levels!R46, 0)</f>
        <v>64</v>
      </c>
      <c r="H47" s="5">
        <f>ROUND(Levels!R46-Levels!N46, 1)</f>
        <v>-0.9</v>
      </c>
      <c r="I47" s="5">
        <f>ROUND(Levels!R46-Levels!Q46, 1)</f>
        <v>-1.7</v>
      </c>
      <c r="J47" t="s">
        <v>237</v>
      </c>
    </row>
    <row r="48" spans="2:10" x14ac:dyDescent="0.25">
      <c r="B48" t="str">
        <f>Levels!B47</f>
        <v>El Sub Sta 7</v>
      </c>
      <c r="C48" s="4">
        <f>Levels!N47</f>
        <v>58.5</v>
      </c>
      <c r="D48" s="4">
        <f>ROUND(Levels!P47, 0)</f>
        <v>58</v>
      </c>
      <c r="E48" s="5">
        <f>ROUND(Levels!P47-Levels!N47, 1)</f>
        <v>-0.3</v>
      </c>
      <c r="F48" s="5">
        <f>ROUND(Levels!P47-Levels!O47, 1)</f>
        <v>-0.4</v>
      </c>
      <c r="G48" s="4">
        <f>ROUND(Levels!R47, 0)</f>
        <v>59</v>
      </c>
      <c r="H48" s="5">
        <f>ROUND(Levels!R47-Levels!N47, 1)</f>
        <v>0.5</v>
      </c>
      <c r="I48" s="5">
        <f>ROUND(Levels!R47-Levels!Q47, 1)</f>
        <v>-0.2</v>
      </c>
      <c r="J48" t="s">
        <v>237</v>
      </c>
    </row>
    <row r="49" spans="2:10" x14ac:dyDescent="0.25">
      <c r="B49" t="str">
        <f>Levels!B48</f>
        <v>Greelea 4</v>
      </c>
      <c r="C49" s="4">
        <f>Levels!N48</f>
        <v>52.9</v>
      </c>
      <c r="D49" s="4">
        <f>ROUND(Levels!P48, 0)</f>
        <v>53</v>
      </c>
      <c r="E49" s="5">
        <f>ROUND(Levels!P48-Levels!N48, 1)</f>
        <v>0</v>
      </c>
      <c r="F49" s="5">
        <f>ROUND(Levels!P48-Levels!O48, 1)</f>
        <v>-0.1</v>
      </c>
      <c r="G49" s="4">
        <f>ROUND(Levels!R48, 0)</f>
        <v>54</v>
      </c>
      <c r="H49" s="5">
        <f>ROUND(Levels!R48-Levels!N48, 1)</f>
        <v>0.8</v>
      </c>
      <c r="I49" s="5">
        <f>ROUND(Levels!R48-Levels!Q48, 1)</f>
        <v>0.1</v>
      </c>
      <c r="J49" t="s">
        <v>237</v>
      </c>
    </row>
    <row r="50" spans="2:10" x14ac:dyDescent="0.25">
      <c r="B50" t="str">
        <f>Levels!B49</f>
        <v>Greenlea 1</v>
      </c>
      <c r="C50" s="4">
        <f>Levels!N49</f>
        <v>60.9</v>
      </c>
      <c r="D50" s="4">
        <f>ROUND(Levels!P49, 0)</f>
        <v>61</v>
      </c>
      <c r="E50" s="5">
        <f>ROUND(Levels!P49-Levels!N49, 1)</f>
        <v>-0.4</v>
      </c>
      <c r="F50" s="5">
        <f>ROUND(Levels!P49-Levels!O49, 1)</f>
        <v>-0.4</v>
      </c>
      <c r="G50" s="4">
        <f>ROUND(Levels!R49, 0)</f>
        <v>61</v>
      </c>
      <c r="H50" s="5">
        <f>ROUND(Levels!R49-Levels!N49, 1)</f>
        <v>0.3</v>
      </c>
      <c r="I50" s="5">
        <f>ROUND(Levels!R49-Levels!Q49, 1)</f>
        <v>-0.2</v>
      </c>
      <c r="J50" t="s">
        <v>237</v>
      </c>
    </row>
    <row r="51" spans="2:10" x14ac:dyDescent="0.25">
      <c r="B51" t="str">
        <f>Levels!B50</f>
        <v>El Sub Sta 6</v>
      </c>
      <c r="C51" s="4">
        <f>Levels!N50</f>
        <v>62</v>
      </c>
      <c r="D51" s="4">
        <f>ROUND(Levels!P50, 0)</f>
        <v>62</v>
      </c>
      <c r="E51" s="5">
        <f>ROUND(Levels!P50-Levels!N50, 1)</f>
        <v>-0.2</v>
      </c>
      <c r="F51" s="5">
        <f>ROUND(Levels!P50-Levels!O50, 1)</f>
        <v>-0.2</v>
      </c>
      <c r="G51" s="4">
        <f>ROUND(Levels!R50, 0)</f>
        <v>63</v>
      </c>
      <c r="H51" s="5">
        <f>ROUND(Levels!R50-Levels!N50, 1)</f>
        <v>0.6</v>
      </c>
      <c r="I51" s="5">
        <f>ROUND(Levels!R50-Levels!Q50, 1)</f>
        <v>0</v>
      </c>
      <c r="J51" t="s">
        <v>237</v>
      </c>
    </row>
    <row r="52" spans="2:10" x14ac:dyDescent="0.25">
      <c r="B52" t="str">
        <f>Levels!B51</f>
        <v>Greenlea 5</v>
      </c>
      <c r="C52" s="4">
        <f>Levels!N51</f>
        <v>62.9</v>
      </c>
      <c r="D52" s="4">
        <f>ROUND(Levels!P51, 0)</f>
        <v>63</v>
      </c>
      <c r="E52" s="5">
        <f>ROUND(Levels!P51-Levels!N51, 1)</f>
        <v>-0.1</v>
      </c>
      <c r="F52" s="5">
        <f>ROUND(Levels!P51-Levels!O51, 1)</f>
        <v>-0.2</v>
      </c>
      <c r="G52" s="4">
        <f>ROUND(Levels!R51, 0)</f>
        <v>64</v>
      </c>
      <c r="H52" s="5">
        <f>ROUND(Levels!R51-Levels!N51, 1)</f>
        <v>0.7</v>
      </c>
      <c r="I52" s="5">
        <f>ROUND(Levels!R51-Levels!Q51, 1)</f>
        <v>0.1</v>
      </c>
      <c r="J52" t="s">
        <v>237</v>
      </c>
    </row>
    <row r="53" spans="2:10" x14ac:dyDescent="0.25">
      <c r="B53" t="str">
        <f>Levels!B52</f>
        <v>Greenlea 11</v>
      </c>
      <c r="C53" s="4">
        <f>Levels!N52</f>
        <v>61.3</v>
      </c>
      <c r="D53" s="4">
        <f>ROUND(Levels!P52, 0)</f>
        <v>61</v>
      </c>
      <c r="E53" s="5">
        <f>ROUND(Levels!P52-Levels!N52, 1)</f>
        <v>-0.1</v>
      </c>
      <c r="F53" s="5">
        <f>ROUND(Levels!P52-Levels!O52, 1)</f>
        <v>-0.2</v>
      </c>
      <c r="G53" s="4">
        <f>ROUND(Levels!R52, 0)</f>
        <v>62</v>
      </c>
      <c r="H53" s="5">
        <f>ROUND(Levels!R52-Levels!N52, 1)</f>
        <v>0.7</v>
      </c>
      <c r="I53" s="5">
        <f>ROUND(Levels!R52-Levels!Q52, 1)</f>
        <v>0.1</v>
      </c>
      <c r="J53" t="s">
        <v>237</v>
      </c>
    </row>
    <row r="54" spans="2:10" x14ac:dyDescent="0.25">
      <c r="B54" t="str">
        <f>Levels!B53</f>
        <v>El Sub Sta 12</v>
      </c>
      <c r="C54" s="4">
        <f>Levels!N53</f>
        <v>58.9</v>
      </c>
      <c r="D54" s="4">
        <f>ROUND(Levels!P53, 0)</f>
        <v>59</v>
      </c>
      <c r="E54" s="5">
        <f>ROUND(Levels!P53-Levels!N53, 1)</f>
        <v>0.1</v>
      </c>
      <c r="F54" s="5">
        <f>ROUND(Levels!P53-Levels!O53, 1)</f>
        <v>0</v>
      </c>
      <c r="G54" s="4">
        <f>ROUND(Levels!R53, 0)</f>
        <v>60</v>
      </c>
      <c r="H54" s="5">
        <f>ROUND(Levels!R53-Levels!N53, 1)</f>
        <v>0.8</v>
      </c>
      <c r="I54" s="5">
        <f>ROUND(Levels!R53-Levels!Q53, 1)</f>
        <v>0.2</v>
      </c>
      <c r="J54" t="s">
        <v>237</v>
      </c>
    </row>
    <row r="55" spans="2:10" x14ac:dyDescent="0.25">
      <c r="B55" t="str">
        <f>Levels!B54</f>
        <v>El Sub Sta 14</v>
      </c>
      <c r="C55" s="4">
        <f>Levels!N54</f>
        <v>57.8</v>
      </c>
      <c r="D55" s="4">
        <f>ROUND(Levels!P54, 0)</f>
        <v>58</v>
      </c>
      <c r="E55" s="5">
        <f>ROUND(Levels!P54-Levels!N54, 1)</f>
        <v>0.1</v>
      </c>
      <c r="F55" s="5">
        <f>ROUND(Levels!P54-Levels!O54, 1)</f>
        <v>0</v>
      </c>
      <c r="G55" s="4">
        <f>ROUND(Levels!R54, 0)</f>
        <v>59</v>
      </c>
      <c r="H55" s="5">
        <f>ROUND(Levels!R54-Levels!N54, 1)</f>
        <v>0.8</v>
      </c>
      <c r="I55" s="5">
        <f>ROUND(Levels!R54-Levels!Q54, 1)</f>
        <v>0.1</v>
      </c>
      <c r="J55" t="s">
        <v>237</v>
      </c>
    </row>
    <row r="56" spans="2:10" x14ac:dyDescent="0.25">
      <c r="B56" t="str">
        <f>Levels!B55</f>
        <v>The Paddock 4</v>
      </c>
      <c r="C56" s="4">
        <f>Levels!N55</f>
        <v>59.8</v>
      </c>
      <c r="D56" s="4">
        <f>ROUND(Levels!P55, 0)</f>
        <v>60</v>
      </c>
      <c r="E56" s="5">
        <f>ROUND(Levels!P55-Levels!N55, 1)</f>
        <v>0</v>
      </c>
      <c r="F56" s="5">
        <f>ROUND(Levels!P55-Levels!O55, 1)</f>
        <v>-0.1</v>
      </c>
      <c r="G56" s="4">
        <f>ROUND(Levels!R55, 0)</f>
        <v>61</v>
      </c>
      <c r="H56" s="5">
        <f>ROUND(Levels!R55-Levels!N55, 1)</f>
        <v>0.8</v>
      </c>
      <c r="I56" s="5">
        <f>ROUND(Levels!R55-Levels!Q55, 1)</f>
        <v>0.1</v>
      </c>
      <c r="J56" t="s">
        <v>237</v>
      </c>
    </row>
    <row r="57" spans="2:10" x14ac:dyDescent="0.25">
      <c r="B57" t="str">
        <f>Levels!B56</f>
        <v>The Paddock 1</v>
      </c>
      <c r="C57" s="4">
        <f>Levels!N56</f>
        <v>59.6</v>
      </c>
      <c r="D57" s="4">
        <f>ROUND(Levels!P56, 0)</f>
        <v>60</v>
      </c>
      <c r="E57" s="5">
        <f>ROUND(Levels!P56-Levels!N56, 1)</f>
        <v>0</v>
      </c>
      <c r="F57" s="5">
        <f>ROUND(Levels!P56-Levels!O56, 1)</f>
        <v>-0.1</v>
      </c>
      <c r="G57" s="4">
        <f>ROUND(Levels!R56, 0)</f>
        <v>60</v>
      </c>
      <c r="H57" s="5">
        <f>ROUND(Levels!R56-Levels!N56, 1)</f>
        <v>0.8</v>
      </c>
      <c r="I57" s="5">
        <f>ROUND(Levels!R56-Levels!Q56, 1)</f>
        <v>0.1</v>
      </c>
      <c r="J57" t="s">
        <v>237</v>
      </c>
    </row>
    <row r="58" spans="2:10" x14ac:dyDescent="0.25">
      <c r="B58" t="str">
        <f>Levels!B57</f>
        <v>The Paddock 2</v>
      </c>
      <c r="C58" s="4">
        <f>Levels!N57</f>
        <v>55.9</v>
      </c>
      <c r="D58" s="4">
        <f>ROUND(Levels!P57, 0)</f>
        <v>56</v>
      </c>
      <c r="E58" s="5">
        <f>ROUND(Levels!P57-Levels!N57, 1)</f>
        <v>0.1</v>
      </c>
      <c r="F58" s="5">
        <f>ROUND(Levels!P57-Levels!O57, 1)</f>
        <v>0</v>
      </c>
      <c r="G58" s="4">
        <f>ROUND(Levels!R57, 0)</f>
        <v>57</v>
      </c>
      <c r="H58" s="5">
        <f>ROUND(Levels!R57-Levels!N57, 1)</f>
        <v>0.9</v>
      </c>
      <c r="I58" s="5">
        <f>ROUND(Levels!R57-Levels!Q57, 1)</f>
        <v>0.2</v>
      </c>
      <c r="J58" t="s">
        <v>237</v>
      </c>
    </row>
    <row r="59" spans="2:10" x14ac:dyDescent="0.25">
      <c r="B59" t="str">
        <f>Levels!B58</f>
        <v>Martindale Close 1</v>
      </c>
      <c r="C59" s="4">
        <f>Levels!N58</f>
        <v>61.2</v>
      </c>
      <c r="D59" s="4">
        <f>ROUND(Levels!P58, 0)</f>
        <v>61</v>
      </c>
      <c r="E59" s="5">
        <f>ROUND(Levels!P58-Levels!N58, 1)</f>
        <v>0</v>
      </c>
      <c r="F59" s="5">
        <f>ROUND(Levels!P58-Levels!O58, 1)</f>
        <v>0</v>
      </c>
      <c r="G59" s="4">
        <f>ROUND(Levels!R58, 0)</f>
        <v>62</v>
      </c>
      <c r="H59" s="5">
        <f>ROUND(Levels!R58-Levels!N58, 1)</f>
        <v>0.7</v>
      </c>
      <c r="I59" s="5">
        <f>ROUND(Levels!R58-Levels!Q58, 1)</f>
        <v>0.1</v>
      </c>
      <c r="J59" t="s">
        <v>237</v>
      </c>
    </row>
    <row r="60" spans="2:10" x14ac:dyDescent="0.25">
      <c r="B60" t="str">
        <f>Levels!B59</f>
        <v>Martindale Close 5</v>
      </c>
      <c r="C60" s="4">
        <f>Levels!N59</f>
        <v>51</v>
      </c>
      <c r="D60" s="4">
        <f>ROUND(Levels!P59, 0)</f>
        <v>51</v>
      </c>
      <c r="E60" s="5">
        <f>ROUND(Levels!P59-Levels!N59, 1)</f>
        <v>-0.1</v>
      </c>
      <c r="F60" s="5">
        <f>ROUND(Levels!P59-Levels!O59, 1)</f>
        <v>-0.1</v>
      </c>
      <c r="G60" s="4">
        <f>ROUND(Levels!R59, 0)</f>
        <v>52</v>
      </c>
      <c r="H60" s="5">
        <f>ROUND(Levels!R59-Levels!N59, 1)</f>
        <v>0.6</v>
      </c>
      <c r="I60" s="5">
        <f>ROUND(Levels!R59-Levels!Q59, 1)</f>
        <v>-0.1</v>
      </c>
      <c r="J60" t="s">
        <v>237</v>
      </c>
    </row>
    <row r="61" spans="2:10" x14ac:dyDescent="0.25">
      <c r="B61" t="str">
        <f>Levels!B60</f>
        <v>Martindale Close 8</v>
      </c>
      <c r="C61" s="4">
        <f>Levels!N60</f>
        <v>59.9</v>
      </c>
      <c r="D61" s="4">
        <f>ROUND(Levels!P60, 0)</f>
        <v>60</v>
      </c>
      <c r="E61" s="5">
        <f>ROUND(Levels!P60-Levels!N60, 1)</f>
        <v>0.1</v>
      </c>
      <c r="F61" s="5">
        <f>ROUND(Levels!P60-Levels!O60, 1)</f>
        <v>0.1</v>
      </c>
      <c r="G61" s="4">
        <f>ROUND(Levels!R60, 0)</f>
        <v>61</v>
      </c>
      <c r="H61" s="5">
        <f>ROUND(Levels!R60-Levels!N60, 1)</f>
        <v>0.9</v>
      </c>
      <c r="I61" s="5">
        <f>ROUND(Levels!R60-Levels!Q60, 1)</f>
        <v>0.3</v>
      </c>
      <c r="J61" t="s">
        <v>237</v>
      </c>
    </row>
    <row r="62" spans="2:10" x14ac:dyDescent="0.25">
      <c r="B62" t="str">
        <f>Levels!B61</f>
        <v>Martindale Close 9</v>
      </c>
      <c r="C62" s="4">
        <f>Levels!N61</f>
        <v>60</v>
      </c>
      <c r="D62" s="4">
        <f>ROUND(Levels!P61, 0)</f>
        <v>60</v>
      </c>
      <c r="E62" s="5">
        <f>ROUND(Levels!P61-Levels!N61, 1)</f>
        <v>0.2</v>
      </c>
      <c r="F62" s="5">
        <f>ROUND(Levels!P61-Levels!O61, 1)</f>
        <v>0.1</v>
      </c>
      <c r="G62" s="4">
        <f>ROUND(Levels!R61, 0)</f>
        <v>61</v>
      </c>
      <c r="H62" s="5">
        <f>ROUND(Levels!R61-Levels!N61, 1)</f>
        <v>0.9</v>
      </c>
      <c r="I62" s="5">
        <f>ROUND(Levels!R61-Levels!Q61, 1)</f>
        <v>0.2</v>
      </c>
      <c r="J62" t="s">
        <v>237</v>
      </c>
    </row>
    <row r="63" spans="2:10" x14ac:dyDescent="0.25">
      <c r="B63" t="str">
        <f>Levels!B62</f>
        <v>The Paddock 9</v>
      </c>
      <c r="C63" s="4">
        <f>Levels!N62</f>
        <v>60.7</v>
      </c>
      <c r="D63" s="4">
        <f>ROUND(Levels!P62, 0)</f>
        <v>61</v>
      </c>
      <c r="E63" s="5">
        <f>ROUND(Levels!P62-Levels!N62, 1)</f>
        <v>0.1</v>
      </c>
      <c r="F63" s="5">
        <f>ROUND(Levels!P62-Levels!O62, 1)</f>
        <v>0</v>
      </c>
      <c r="G63" s="4">
        <f>ROUND(Levels!R62, 0)</f>
        <v>62</v>
      </c>
      <c r="H63" s="5">
        <f>ROUND(Levels!R62-Levels!N62, 1)</f>
        <v>0.9</v>
      </c>
      <c r="I63" s="5">
        <f>ROUND(Levels!R62-Levels!Q62, 1)</f>
        <v>0.3</v>
      </c>
      <c r="J63" t="s">
        <v>237</v>
      </c>
    </row>
    <row r="64" spans="2:10" x14ac:dyDescent="0.25">
      <c r="B64" t="str">
        <f>Levels!B63</f>
        <v>Manor Close 22</v>
      </c>
      <c r="C64" s="4">
        <f>Levels!N63</f>
        <v>56</v>
      </c>
      <c r="D64" s="4">
        <f>ROUND(Levels!P63, 0)</f>
        <v>56</v>
      </c>
      <c r="E64" s="5">
        <f>ROUND(Levels!P63-Levels!N63, 1)</f>
        <v>0</v>
      </c>
      <c r="F64" s="5">
        <f>ROUND(Levels!P63-Levels!O63, 1)</f>
        <v>0</v>
      </c>
      <c r="G64" s="4">
        <f>ROUND(Levels!R63, 0)</f>
        <v>57</v>
      </c>
      <c r="H64" s="5">
        <f>ROUND(Levels!R63-Levels!N63, 1)</f>
        <v>0.8</v>
      </c>
      <c r="I64" s="5">
        <f>ROUND(Levels!R63-Levels!Q63, 1)</f>
        <v>0.2</v>
      </c>
      <c r="J64" t="s">
        <v>237</v>
      </c>
    </row>
    <row r="65" spans="2:10" x14ac:dyDescent="0.25">
      <c r="B65" t="str">
        <f>Levels!B64</f>
        <v>Manor Close 21</v>
      </c>
      <c r="C65" s="4">
        <f>Levels!N64</f>
        <v>56.4</v>
      </c>
      <c r="D65" s="4">
        <f>ROUND(Levels!P64, 0)</f>
        <v>56</v>
      </c>
      <c r="E65" s="5">
        <f>ROUND(Levels!P64-Levels!N64, 1)</f>
        <v>0</v>
      </c>
      <c r="F65" s="5">
        <f>ROUND(Levels!P64-Levels!O64, 1)</f>
        <v>0</v>
      </c>
      <c r="G65" s="4">
        <f>ROUND(Levels!R64, 0)</f>
        <v>57</v>
      </c>
      <c r="H65" s="5">
        <f>ROUND(Levels!R64-Levels!N64, 1)</f>
        <v>0.8</v>
      </c>
      <c r="I65" s="5">
        <f>ROUND(Levels!R64-Levels!Q64, 1)</f>
        <v>0.2</v>
      </c>
      <c r="J65" t="s">
        <v>237</v>
      </c>
    </row>
    <row r="66" spans="2:10" x14ac:dyDescent="0.25">
      <c r="B66" t="str">
        <f>Levels!B65</f>
        <v>Manor Close 19</v>
      </c>
      <c r="C66" s="4">
        <f>Levels!N65</f>
        <v>56.7</v>
      </c>
      <c r="D66" s="4">
        <f>ROUND(Levels!P65, 0)</f>
        <v>57</v>
      </c>
      <c r="E66" s="5">
        <f>ROUND(Levels!P65-Levels!N65, 1)</f>
        <v>0</v>
      </c>
      <c r="F66" s="5">
        <f>ROUND(Levels!P65-Levels!O65, 1)</f>
        <v>-0.1</v>
      </c>
      <c r="G66" s="4">
        <f>ROUND(Levels!R65, 0)</f>
        <v>58</v>
      </c>
      <c r="H66" s="5">
        <f>ROUND(Levels!R65-Levels!N65, 1)</f>
        <v>0.8</v>
      </c>
      <c r="I66" s="5">
        <f>ROUND(Levels!R65-Levels!Q65, 1)</f>
        <v>0.2</v>
      </c>
      <c r="J66" t="s">
        <v>237</v>
      </c>
    </row>
    <row r="67" spans="2:10" x14ac:dyDescent="0.25">
      <c r="B67" t="str">
        <f>Levels!B66</f>
        <v>Manor Close 20</v>
      </c>
      <c r="C67" s="4">
        <f>Levels!N66</f>
        <v>56.7</v>
      </c>
      <c r="D67" s="4">
        <f>ROUND(Levels!P66, 0)</f>
        <v>57</v>
      </c>
      <c r="E67" s="5">
        <f>ROUND(Levels!P66-Levels!N66, 1)</f>
        <v>0</v>
      </c>
      <c r="F67" s="5">
        <f>ROUND(Levels!P66-Levels!O66, 1)</f>
        <v>0</v>
      </c>
      <c r="G67" s="4">
        <f>ROUND(Levels!R66, 0)</f>
        <v>57</v>
      </c>
      <c r="H67" s="5">
        <f>ROUND(Levels!R66-Levels!N66, 1)</f>
        <v>0.7</v>
      </c>
      <c r="I67" s="5">
        <f>ROUND(Levels!R66-Levels!Q66, 1)</f>
        <v>0.1</v>
      </c>
      <c r="J67" t="s">
        <v>237</v>
      </c>
    </row>
    <row r="68" spans="2:10" x14ac:dyDescent="0.25">
      <c r="B68" t="str">
        <f>Levels!B67</f>
        <v>Manor Close 13</v>
      </c>
      <c r="C68" s="4">
        <f>Levels!N67</f>
        <v>60.9</v>
      </c>
      <c r="D68" s="4">
        <f>ROUND(Levels!P67, 0)</f>
        <v>61</v>
      </c>
      <c r="E68" s="5">
        <f>ROUND(Levels!P67-Levels!N67, 1)</f>
        <v>-0.3</v>
      </c>
      <c r="F68" s="5">
        <f>ROUND(Levels!P67-Levels!O67, 1)</f>
        <v>-0.3</v>
      </c>
      <c r="G68" s="4">
        <f>ROUND(Levels!R67, 0)</f>
        <v>61</v>
      </c>
      <c r="H68" s="5">
        <f>ROUND(Levels!R67-Levels!N67, 1)</f>
        <v>0.4</v>
      </c>
      <c r="I68" s="5">
        <f>ROUND(Levels!R67-Levels!Q67, 1)</f>
        <v>-0.1</v>
      </c>
      <c r="J68" t="s">
        <v>237</v>
      </c>
    </row>
    <row r="69" spans="2:10" x14ac:dyDescent="0.25">
      <c r="B69" t="str">
        <f>Levels!B68</f>
        <v>Manor Close 7</v>
      </c>
      <c r="C69" s="4">
        <f>Levels!N68</f>
        <v>50.5</v>
      </c>
      <c r="D69" s="4">
        <f>ROUND(Levels!P68, 0)</f>
        <v>50</v>
      </c>
      <c r="E69" s="5">
        <f>ROUND(Levels!P68-Levels!N68, 1)</f>
        <v>-0.9</v>
      </c>
      <c r="F69" s="5">
        <f>ROUND(Levels!P68-Levels!O68, 1)</f>
        <v>-1</v>
      </c>
      <c r="G69" s="4">
        <f>ROUND(Levels!R68, 0)</f>
        <v>50</v>
      </c>
      <c r="H69" s="5">
        <f>ROUND(Levels!R68-Levels!N68, 1)</f>
        <v>-0.1</v>
      </c>
      <c r="I69" s="5">
        <f>ROUND(Levels!R68-Levels!Q68, 1)</f>
        <v>-0.9</v>
      </c>
      <c r="J69" t="s">
        <v>237</v>
      </c>
    </row>
    <row r="70" spans="2:10" x14ac:dyDescent="0.25">
      <c r="B70" t="str">
        <f>Levels!B69</f>
        <v>Westlands 18</v>
      </c>
      <c r="C70" s="4">
        <f>Levels!N69</f>
        <v>62.6</v>
      </c>
      <c r="D70" s="4">
        <f>ROUND(Levels!P69, 0)</f>
        <v>62</v>
      </c>
      <c r="E70" s="5">
        <f>ROUND(Levels!P69-Levels!N69, 1)</f>
        <v>-0.5</v>
      </c>
      <c r="F70" s="5">
        <f>ROUND(Levels!P69-Levels!O69, 1)</f>
        <v>-0.6</v>
      </c>
      <c r="G70" s="4">
        <f>ROUND(Levels!R69, 0)</f>
        <v>63</v>
      </c>
      <c r="H70" s="5">
        <f>ROUND(Levels!R69-Levels!N69, 1)</f>
        <v>0.2</v>
      </c>
      <c r="I70" s="5">
        <f>ROUND(Levels!R69-Levels!Q69, 1)</f>
        <v>-0.2</v>
      </c>
      <c r="J70" t="s">
        <v>237</v>
      </c>
    </row>
    <row r="71" spans="2:10" x14ac:dyDescent="0.25">
      <c r="B71" t="str">
        <f>Levels!B70</f>
        <v>The Green 7</v>
      </c>
      <c r="C71" s="4">
        <f>Levels!N70</f>
        <v>62.1</v>
      </c>
      <c r="D71" s="4">
        <f>ROUND(Levels!P70, 0)</f>
        <v>60</v>
      </c>
      <c r="E71" s="5">
        <f>ROUND(Levels!P70-Levels!N70, 1)</f>
        <v>-2.5</v>
      </c>
      <c r="F71" s="5">
        <f>ROUND(Levels!P70-Levels!O70, 1)</f>
        <v>-2.6</v>
      </c>
      <c r="G71" s="4">
        <f>ROUND(Levels!R70, 0)</f>
        <v>60</v>
      </c>
      <c r="H71" s="5">
        <f>ROUND(Levels!R70-Levels!N70, 1)</f>
        <v>-1.8</v>
      </c>
      <c r="I71" s="5">
        <f>ROUND(Levels!R70-Levels!Q70, 1)</f>
        <v>-2.2999999999999998</v>
      </c>
      <c r="J71" t="s">
        <v>237</v>
      </c>
    </row>
    <row r="72" spans="2:10" x14ac:dyDescent="0.25">
      <c r="B72" t="str">
        <f>Levels!B71</f>
        <v>The Green 8</v>
      </c>
      <c r="C72" s="4">
        <f>Levels!N71</f>
        <v>64</v>
      </c>
      <c r="D72" s="4">
        <f>ROUND(Levels!P71, 0)</f>
        <v>62</v>
      </c>
      <c r="E72" s="5">
        <f>ROUND(Levels!P71-Levels!N71, 1)</f>
        <v>-1.8</v>
      </c>
      <c r="F72" s="5">
        <f>ROUND(Levels!P71-Levels!O71, 1)</f>
        <v>-1.9</v>
      </c>
      <c r="G72" s="4">
        <f>ROUND(Levels!R71, 0)</f>
        <v>63</v>
      </c>
      <c r="H72" s="5">
        <f>ROUND(Levels!R71-Levels!N71, 1)</f>
        <v>-1</v>
      </c>
      <c r="I72" s="5">
        <f>ROUND(Levels!R71-Levels!Q71, 1)</f>
        <v>-1.5</v>
      </c>
      <c r="J72" t="s">
        <v>237</v>
      </c>
    </row>
    <row r="73" spans="2:10" x14ac:dyDescent="0.25">
      <c r="B73" t="str">
        <f>Levels!B72</f>
        <v>The Green 9</v>
      </c>
      <c r="C73" s="4">
        <f>Levels!N72</f>
        <v>65.8</v>
      </c>
      <c r="D73" s="4">
        <f>ROUND(Levels!P72, 0)</f>
        <v>62</v>
      </c>
      <c r="E73" s="5">
        <f>ROUND(Levels!P72-Levels!N72, 1)</f>
        <v>-4.0999999999999996</v>
      </c>
      <c r="F73" s="5">
        <f>ROUND(Levels!P72-Levels!O72, 1)</f>
        <v>-4.2</v>
      </c>
      <c r="G73" s="4">
        <f>ROUND(Levels!R72, 0)</f>
        <v>63</v>
      </c>
      <c r="H73" s="5">
        <f>ROUND(Levels!R72-Levels!N72, 1)</f>
        <v>-3</v>
      </c>
      <c r="I73" s="5">
        <f>ROUND(Levels!R72-Levels!Q72, 1)</f>
        <v>-3.9</v>
      </c>
      <c r="J73" t="s">
        <v>237</v>
      </c>
    </row>
    <row r="74" spans="2:10" x14ac:dyDescent="0.25">
      <c r="B74" t="str">
        <f>Levels!B73</f>
        <v>The Green 2</v>
      </c>
      <c r="C74" s="4">
        <f>Levels!N73</f>
        <v>64.099999999999994</v>
      </c>
      <c r="D74" s="4">
        <f>ROUND(Levels!P73, 0)</f>
        <v>59</v>
      </c>
      <c r="E74" s="5">
        <f>ROUND(Levels!P73-Levels!N73, 1)</f>
        <v>-4.7</v>
      </c>
      <c r="F74" s="5">
        <f>ROUND(Levels!P73-Levels!O73, 1)</f>
        <v>-4.7</v>
      </c>
      <c r="G74" s="4">
        <f>ROUND(Levels!R73, 0)</f>
        <v>60</v>
      </c>
      <c r="H74" s="5">
        <f>ROUND(Levels!R73-Levels!N73, 1)</f>
        <v>-3.8</v>
      </c>
      <c r="I74" s="5">
        <f>ROUND(Levels!R73-Levels!Q73, 1)</f>
        <v>-4.4000000000000004</v>
      </c>
      <c r="J74" t="s">
        <v>237</v>
      </c>
    </row>
    <row r="75" spans="2:10" x14ac:dyDescent="0.25">
      <c r="B75" t="str">
        <f>Levels!B74</f>
        <v>The Green 3</v>
      </c>
      <c r="C75" s="4">
        <f>Levels!N74</f>
        <v>64.400000000000006</v>
      </c>
      <c r="D75" s="4">
        <f>ROUND(Levels!P74, 0)</f>
        <v>60</v>
      </c>
      <c r="E75" s="5">
        <f>ROUND(Levels!P74-Levels!N74, 1)</f>
        <v>-4</v>
      </c>
      <c r="F75" s="5">
        <f>ROUND(Levels!P74-Levels!O74, 1)</f>
        <v>-4</v>
      </c>
      <c r="G75" s="4">
        <f>ROUND(Levels!R74, 0)</f>
        <v>61</v>
      </c>
      <c r="H75" s="5">
        <f>ROUND(Levels!R74-Levels!N74, 1)</f>
        <v>-3.2</v>
      </c>
      <c r="I75" s="5">
        <f>ROUND(Levels!R74-Levels!Q74, 1)</f>
        <v>-3.7</v>
      </c>
      <c r="J75" t="s">
        <v>237</v>
      </c>
    </row>
    <row r="76" spans="2:10" x14ac:dyDescent="0.25">
      <c r="B76" t="str">
        <f>Levels!B75</f>
        <v>The Green 5</v>
      </c>
      <c r="C76" s="4">
        <f>Levels!N75</f>
        <v>64.5</v>
      </c>
      <c r="D76" s="4">
        <f>ROUND(Levels!P75, 0)</f>
        <v>61</v>
      </c>
      <c r="E76" s="5">
        <f>ROUND(Levels!P75-Levels!N75, 1)</f>
        <v>-3.5</v>
      </c>
      <c r="F76" s="5">
        <f>ROUND(Levels!P75-Levels!O75, 1)</f>
        <v>-3.6</v>
      </c>
      <c r="G76" s="4">
        <f>ROUND(Levels!R75, 0)</f>
        <v>62</v>
      </c>
      <c r="H76" s="5">
        <f>ROUND(Levels!R75-Levels!N75, 1)</f>
        <v>-2.6</v>
      </c>
      <c r="I76" s="5">
        <f>ROUND(Levels!R75-Levels!Q75, 1)</f>
        <v>-3.2</v>
      </c>
      <c r="J76" t="s">
        <v>237</v>
      </c>
    </row>
    <row r="77" spans="2:10" x14ac:dyDescent="0.25">
      <c r="B77" t="str">
        <f>Levels!B76</f>
        <v>The Green 12</v>
      </c>
      <c r="C77" s="4">
        <f>Levels!N76</f>
        <v>56.2</v>
      </c>
      <c r="D77" s="4">
        <f>ROUND(Levels!P76, 0)</f>
        <v>56</v>
      </c>
      <c r="E77" s="5">
        <f>ROUND(Levels!P76-Levels!N76, 1)</f>
        <v>0</v>
      </c>
      <c r="F77" s="5">
        <f>ROUND(Levels!P76-Levels!O76, 1)</f>
        <v>-0.1</v>
      </c>
      <c r="G77" s="4">
        <f>ROUND(Levels!R76, 0)</f>
        <v>57</v>
      </c>
      <c r="H77" s="5">
        <f>ROUND(Levels!R76-Levels!N76, 1)</f>
        <v>0.7</v>
      </c>
      <c r="I77" s="5">
        <f>ROUND(Levels!R76-Levels!Q76, 1)</f>
        <v>0.1</v>
      </c>
      <c r="J77" t="s">
        <v>237</v>
      </c>
    </row>
    <row r="78" spans="2:10" x14ac:dyDescent="0.25">
      <c r="B78" t="str">
        <f>Levels!B77</f>
        <v>The Green 12b</v>
      </c>
      <c r="C78" s="4">
        <f>Levels!N77</f>
        <v>56.9</v>
      </c>
      <c r="D78" s="4">
        <f>ROUND(Levels!P77, 0)</f>
        <v>57</v>
      </c>
      <c r="E78" s="5">
        <f>ROUND(Levels!P77-Levels!N77, 1)</f>
        <v>0</v>
      </c>
      <c r="F78" s="5">
        <f>ROUND(Levels!P77-Levels!O77, 1)</f>
        <v>-0.1</v>
      </c>
      <c r="G78" s="4">
        <f>ROUND(Levels!R77, 0)</f>
        <v>58</v>
      </c>
      <c r="H78" s="5">
        <f>ROUND(Levels!R77-Levels!N77, 1)</f>
        <v>0.7</v>
      </c>
      <c r="I78" s="5">
        <f>ROUND(Levels!R77-Levels!Q77, 1)</f>
        <v>0.1</v>
      </c>
      <c r="J78" t="s">
        <v>237</v>
      </c>
    </row>
    <row r="79" spans="2:10" x14ac:dyDescent="0.25">
      <c r="B79" t="str">
        <f>Levels!B78</f>
        <v>The Green 15</v>
      </c>
      <c r="C79" s="4">
        <f>Levels!N78</f>
        <v>67</v>
      </c>
      <c r="D79" s="4">
        <f>ROUND(Levels!P78, 0)</f>
        <v>62</v>
      </c>
      <c r="E79" s="5">
        <f>ROUND(Levels!P78-Levels!N78, 1)</f>
        <v>-5.2</v>
      </c>
      <c r="F79" s="5">
        <f>ROUND(Levels!P78-Levels!O78, 1)</f>
        <v>-5.2</v>
      </c>
      <c r="G79" s="4">
        <f>ROUND(Levels!R78, 0)</f>
        <v>63</v>
      </c>
      <c r="H79" s="5">
        <f>ROUND(Levels!R78-Levels!N78, 1)</f>
        <v>-3.9</v>
      </c>
      <c r="I79" s="5">
        <f>ROUND(Levels!R78-Levels!Q78, 1)</f>
        <v>-4.9000000000000004</v>
      </c>
      <c r="J79" t="s">
        <v>237</v>
      </c>
    </row>
    <row r="80" spans="2:10" x14ac:dyDescent="0.25">
      <c r="B80" t="str">
        <f>Levels!B79</f>
        <v>The Green 16</v>
      </c>
      <c r="C80" s="4">
        <f>Levels!N79</f>
        <v>67.599999999999994</v>
      </c>
      <c r="D80" s="4">
        <f>ROUND(Levels!P79, 0)</f>
        <v>62</v>
      </c>
      <c r="E80" s="5">
        <f>ROUND(Levels!P79-Levels!N79, 1)</f>
        <v>-5.5</v>
      </c>
      <c r="F80" s="5">
        <f>ROUND(Levels!P79-Levels!O79, 1)</f>
        <v>-5.5</v>
      </c>
      <c r="G80" s="4">
        <f>ROUND(Levels!R79, 0)</f>
        <v>64</v>
      </c>
      <c r="H80" s="5">
        <f>ROUND(Levels!R79-Levels!N79, 1)</f>
        <v>-4.0999999999999996</v>
      </c>
      <c r="I80" s="5">
        <f>ROUND(Levels!R79-Levels!Q79, 1)</f>
        <v>-5.0999999999999996</v>
      </c>
      <c r="J80" t="s">
        <v>237</v>
      </c>
    </row>
    <row r="81" spans="2:10" x14ac:dyDescent="0.25">
      <c r="B81" t="str">
        <f>Levels!B80</f>
        <v>The Green 1</v>
      </c>
      <c r="C81" s="4">
        <f>Levels!N80</f>
        <v>62.6</v>
      </c>
      <c r="D81" s="4">
        <f>ROUND(Levels!P80, 0)</f>
        <v>59</v>
      </c>
      <c r="E81" s="5">
        <f>ROUND(Levels!P80-Levels!N80, 1)</f>
        <v>-4</v>
      </c>
      <c r="F81" s="5">
        <f>ROUND(Levels!P80-Levels!O80, 1)</f>
        <v>-4.0999999999999996</v>
      </c>
      <c r="G81" s="4">
        <f>ROUND(Levels!R80, 0)</f>
        <v>59</v>
      </c>
      <c r="H81" s="5">
        <f>ROUND(Levels!R80-Levels!N80, 1)</f>
        <v>-3.3</v>
      </c>
      <c r="I81" s="5">
        <f>ROUND(Levels!R80-Levels!Q80, 1)</f>
        <v>-3.6</v>
      </c>
      <c r="J81" t="s">
        <v>237</v>
      </c>
    </row>
    <row r="82" spans="2:10" x14ac:dyDescent="0.25">
      <c r="B82" t="str">
        <f>Levels!B81</f>
        <v>The Green 43</v>
      </c>
      <c r="C82" s="4">
        <f>Levels!N81</f>
        <v>65.400000000000006</v>
      </c>
      <c r="D82" s="4">
        <f>ROUND(Levels!P81, 0)</f>
        <v>62</v>
      </c>
      <c r="E82" s="5">
        <f>ROUND(Levels!P81-Levels!N81, 1)</f>
        <v>-3</v>
      </c>
      <c r="F82" s="5">
        <f>ROUND(Levels!P81-Levels!O81, 1)</f>
        <v>-3.1</v>
      </c>
      <c r="G82" s="4">
        <f>ROUND(Levels!R81, 0)</f>
        <v>63</v>
      </c>
      <c r="H82" s="5">
        <f>ROUND(Levels!R81-Levels!N81, 1)</f>
        <v>-2.2000000000000002</v>
      </c>
      <c r="I82" s="5">
        <f>ROUND(Levels!R81-Levels!Q81, 1)</f>
        <v>-2.6</v>
      </c>
      <c r="J82" t="s">
        <v>237</v>
      </c>
    </row>
    <row r="83" spans="2:10" x14ac:dyDescent="0.25">
      <c r="B83" t="str">
        <f>Levels!B82</f>
        <v>The Green 33</v>
      </c>
      <c r="C83" s="4">
        <f>Levels!N82</f>
        <v>64.2</v>
      </c>
      <c r="D83" s="4">
        <f>ROUND(Levels!P82, 0)</f>
        <v>60</v>
      </c>
      <c r="E83" s="5">
        <f>ROUND(Levels!P82-Levels!N82, 1)</f>
        <v>-3.8</v>
      </c>
      <c r="F83" s="5">
        <f>ROUND(Levels!P82-Levels!O82, 1)</f>
        <v>-3.8</v>
      </c>
      <c r="G83" s="4">
        <f>ROUND(Levels!R82, 0)</f>
        <v>61</v>
      </c>
      <c r="H83" s="5">
        <f>ROUND(Levels!R82-Levels!N82, 1)</f>
        <v>-2.9</v>
      </c>
      <c r="I83" s="5">
        <f>ROUND(Levels!R82-Levels!Q82, 1)</f>
        <v>-3.4</v>
      </c>
      <c r="J83" t="s">
        <v>237</v>
      </c>
    </row>
    <row r="84" spans="2:10" x14ac:dyDescent="0.25">
      <c r="B84" t="str">
        <f>Levels!B83</f>
        <v>Westall</v>
      </c>
      <c r="C84" s="4">
        <f>Levels!N83</f>
        <v>64.099999999999994</v>
      </c>
      <c r="D84" s="4">
        <f>ROUND(Levels!P83, 0)</f>
        <v>60</v>
      </c>
      <c r="E84" s="5">
        <f>ROUND(Levels!P83-Levels!N83, 1)</f>
        <v>-3.9</v>
      </c>
      <c r="F84" s="5">
        <f>ROUND(Levels!P83-Levels!O83, 1)</f>
        <v>-4</v>
      </c>
      <c r="G84" s="4">
        <f>ROUND(Levels!R83, 0)</f>
        <v>61</v>
      </c>
      <c r="H84" s="5">
        <f>ROUND(Levels!R83-Levels!N83, 1)</f>
        <v>-3.1</v>
      </c>
      <c r="I84" s="5">
        <f>ROUND(Levels!R83-Levels!Q83, 1)</f>
        <v>-3.6</v>
      </c>
      <c r="J84" t="s">
        <v>237</v>
      </c>
    </row>
    <row r="85" spans="2:10" x14ac:dyDescent="0.25">
      <c r="B85" t="str">
        <f>Levels!B84</f>
        <v>Ivanhoe</v>
      </c>
      <c r="C85" s="4">
        <f>Levels!N84</f>
        <v>64.2</v>
      </c>
      <c r="D85" s="4">
        <f>ROUND(Levels!P84, 0)</f>
        <v>60</v>
      </c>
      <c r="E85" s="5">
        <f>ROUND(Levels!P84-Levels!N84, 1)</f>
        <v>-4.2</v>
      </c>
      <c r="F85" s="5">
        <f>ROUND(Levels!P84-Levels!O84, 1)</f>
        <v>-4.2</v>
      </c>
      <c r="G85" s="4">
        <f>ROUND(Levels!R84, 0)</f>
        <v>61</v>
      </c>
      <c r="H85" s="5">
        <f>ROUND(Levels!R84-Levels!N84, 1)</f>
        <v>-3.3</v>
      </c>
      <c r="I85" s="5">
        <f>ROUND(Levels!R84-Levels!Q84, 1)</f>
        <v>-3.8</v>
      </c>
      <c r="J85" t="s">
        <v>237</v>
      </c>
    </row>
    <row r="86" spans="2:10" x14ac:dyDescent="0.25">
      <c r="B86" t="str">
        <f>Levels!B85</f>
        <v>Kelvin</v>
      </c>
      <c r="C86" s="4">
        <f>Levels!N85</f>
        <v>63.9</v>
      </c>
      <c r="D86" s="4">
        <f>ROUND(Levels!P85, 0)</f>
        <v>60</v>
      </c>
      <c r="E86" s="5">
        <f>ROUND(Levels!P85-Levels!N85, 1)</f>
        <v>-4.3</v>
      </c>
      <c r="F86" s="5">
        <f>ROUND(Levels!P85-Levels!O85, 1)</f>
        <v>-4.3</v>
      </c>
      <c r="G86" s="4">
        <f>ROUND(Levels!R85, 0)</f>
        <v>61</v>
      </c>
      <c r="H86" s="5">
        <f>ROUND(Levels!R85-Levels!N85, 1)</f>
        <v>-3.3</v>
      </c>
      <c r="I86" s="5">
        <f>ROUND(Levels!R85-Levels!Q85, 1)</f>
        <v>-3.7</v>
      </c>
      <c r="J86" t="s">
        <v>237</v>
      </c>
    </row>
    <row r="87" spans="2:10" x14ac:dyDescent="0.25">
      <c r="B87" t="str">
        <f>Levels!B86</f>
        <v>St HIlda's Terrace</v>
      </c>
      <c r="C87" s="4">
        <f>Levels!N86</f>
        <v>64.3</v>
      </c>
      <c r="D87" s="4">
        <f>ROUND(Levels!P86, 0)</f>
        <v>61</v>
      </c>
      <c r="E87" s="5">
        <f>ROUND(Levels!P86-Levels!N86, 1)</f>
        <v>-3.4</v>
      </c>
      <c r="F87" s="5">
        <f>ROUND(Levels!P86-Levels!O86, 1)</f>
        <v>-3.4</v>
      </c>
      <c r="G87" s="4">
        <f>ROUND(Levels!R86, 0)</f>
        <v>62</v>
      </c>
      <c r="H87" s="5">
        <f>ROUND(Levels!R86-Levels!N86, 1)</f>
        <v>-2.4</v>
      </c>
      <c r="I87" s="5">
        <f>ROUND(Levels!R86-Levels!Q86, 1)</f>
        <v>-3.2</v>
      </c>
      <c r="J87" t="s">
        <v>237</v>
      </c>
    </row>
    <row r="88" spans="2:10" x14ac:dyDescent="0.25">
      <c r="B88" t="str">
        <f>Levels!B87</f>
        <v>Greenwyas</v>
      </c>
      <c r="C88" s="4">
        <f>Levels!N87</f>
        <v>64.7</v>
      </c>
      <c r="D88" s="4">
        <f>ROUND(Levels!P87, 0)</f>
        <v>61</v>
      </c>
      <c r="E88" s="5">
        <f>ROUND(Levels!P87-Levels!N87, 1)</f>
        <v>-3.6</v>
      </c>
      <c r="F88" s="5">
        <f>ROUND(Levels!P87-Levels!O87, 1)</f>
        <v>-3.7</v>
      </c>
      <c r="G88" s="4">
        <f>ROUND(Levels!R87, 0)</f>
        <v>62</v>
      </c>
      <c r="H88" s="5">
        <f>ROUND(Levels!R87-Levels!N87, 1)</f>
        <v>-2.5</v>
      </c>
      <c r="I88" s="5">
        <f>ROUND(Levels!R87-Levels!Q87, 1)</f>
        <v>-3.4</v>
      </c>
      <c r="J88" t="s">
        <v>237</v>
      </c>
    </row>
    <row r="89" spans="2:10" x14ac:dyDescent="0.25">
      <c r="B89" t="str">
        <f>Levels!B88</f>
        <v>HIllcroft</v>
      </c>
      <c r="C89" s="4">
        <f>Levels!N88</f>
        <v>64.8</v>
      </c>
      <c r="D89" s="4">
        <f>ROUND(Levels!P88, 0)</f>
        <v>61</v>
      </c>
      <c r="E89" s="5">
        <f>ROUND(Levels!P88-Levels!N88, 1)</f>
        <v>-3.7</v>
      </c>
      <c r="F89" s="5">
        <f>ROUND(Levels!P88-Levels!O88, 1)</f>
        <v>-3.8</v>
      </c>
      <c r="G89" s="4">
        <f>ROUND(Levels!R88, 0)</f>
        <v>62</v>
      </c>
      <c r="H89" s="5">
        <f>ROUND(Levels!R88-Levels!N88, 1)</f>
        <v>-2.6</v>
      </c>
      <c r="I89" s="5">
        <f>ROUND(Levels!R88-Levels!Q88, 1)</f>
        <v>-3.5</v>
      </c>
      <c r="J89" t="s">
        <v>237</v>
      </c>
    </row>
    <row r="90" spans="2:10" x14ac:dyDescent="0.25">
      <c r="B90" t="str">
        <f>Levels!B89</f>
        <v>The Croft</v>
      </c>
      <c r="C90" s="4">
        <f>Levels!N89</f>
        <v>65.3</v>
      </c>
      <c r="D90" s="4">
        <f>ROUND(Levels!P89, 0)</f>
        <v>62</v>
      </c>
      <c r="E90" s="5">
        <f>ROUND(Levels!P89-Levels!N89, 1)</f>
        <v>-3.8</v>
      </c>
      <c r="F90" s="5">
        <f>ROUND(Levels!P89-Levels!O89, 1)</f>
        <v>-3.9</v>
      </c>
      <c r="G90" s="4">
        <f>ROUND(Levels!R89, 0)</f>
        <v>63</v>
      </c>
      <c r="H90" s="5">
        <f>ROUND(Levels!R89-Levels!N89, 1)</f>
        <v>-2.7</v>
      </c>
      <c r="I90" s="5">
        <f>ROUND(Levels!R89-Levels!Q89, 1)</f>
        <v>-3.6</v>
      </c>
      <c r="J90" t="s">
        <v>237</v>
      </c>
    </row>
    <row r="91" spans="2:10" x14ac:dyDescent="0.25">
      <c r="B91" t="str">
        <f>Levels!B90</f>
        <v>Institue</v>
      </c>
      <c r="C91" s="4">
        <f>Levels!N90</f>
        <v>66.099999999999994</v>
      </c>
      <c r="D91" s="4">
        <f>ROUND(Levels!P90, 0)</f>
        <v>62</v>
      </c>
      <c r="E91" s="5">
        <f>ROUND(Levels!P90-Levels!N90, 1)</f>
        <v>-4.0999999999999996</v>
      </c>
      <c r="F91" s="5">
        <f>ROUND(Levels!P90-Levels!O90, 1)</f>
        <v>-4.2</v>
      </c>
      <c r="G91" s="4">
        <f>ROUND(Levels!R90, 0)</f>
        <v>63</v>
      </c>
      <c r="H91" s="5">
        <f>ROUND(Levels!R90-Levels!N90, 1)</f>
        <v>-3</v>
      </c>
      <c r="I91" s="5">
        <f>ROUND(Levels!R90-Levels!Q90, 1)</f>
        <v>-3.9</v>
      </c>
      <c r="J91" t="s">
        <v>237</v>
      </c>
    </row>
    <row r="92" spans="2:10" x14ac:dyDescent="0.25">
      <c r="B92" t="str">
        <f>Levels!B91</f>
        <v>Nettherby</v>
      </c>
      <c r="C92" s="4">
        <f>Levels!N91</f>
        <v>66.2</v>
      </c>
      <c r="D92" s="4">
        <f>ROUND(Levels!P91, 0)</f>
        <v>62</v>
      </c>
      <c r="E92" s="5">
        <f>ROUND(Levels!P91-Levels!N91, 1)</f>
        <v>-4.2</v>
      </c>
      <c r="F92" s="5">
        <f>ROUND(Levels!P91-Levels!O91, 1)</f>
        <v>-4.3</v>
      </c>
      <c r="G92" s="4">
        <f>ROUND(Levels!R91, 0)</f>
        <v>63</v>
      </c>
      <c r="H92" s="5">
        <f>ROUND(Levels!R91-Levels!N91, 1)</f>
        <v>-3</v>
      </c>
      <c r="I92" s="5">
        <f>ROUND(Levels!R91-Levels!Q91, 1)</f>
        <v>-4</v>
      </c>
      <c r="J92" t="s">
        <v>237</v>
      </c>
    </row>
    <row r="93" spans="2:10" x14ac:dyDescent="0.25">
      <c r="B93" t="str">
        <f>Levels!B92</f>
        <v>Hannover House</v>
      </c>
      <c r="C93" s="4">
        <f>Levels!N92</f>
        <v>65.599999999999994</v>
      </c>
      <c r="D93" s="4">
        <f>ROUND(Levels!P92, 0)</f>
        <v>62</v>
      </c>
      <c r="E93" s="5">
        <f>ROUND(Levels!P92-Levels!N92, 1)</f>
        <v>-4.0999999999999996</v>
      </c>
      <c r="F93" s="5">
        <f>ROUND(Levels!P92-Levels!O92, 1)</f>
        <v>-4.2</v>
      </c>
      <c r="G93" s="4">
        <f>ROUND(Levels!R92, 0)</f>
        <v>63</v>
      </c>
      <c r="H93" s="5">
        <f>ROUND(Levels!R92-Levels!N92, 1)</f>
        <v>-2.9</v>
      </c>
      <c r="I93" s="5">
        <f>ROUND(Levels!R92-Levels!Q92, 1)</f>
        <v>-3.8</v>
      </c>
      <c r="J93" t="s">
        <v>237</v>
      </c>
    </row>
    <row r="94" spans="2:10" x14ac:dyDescent="0.25">
      <c r="B94" t="str">
        <f>Levels!B93</f>
        <v>Sycamore House</v>
      </c>
      <c r="C94" s="4">
        <f>Levels!N93</f>
        <v>63.3</v>
      </c>
      <c r="D94" s="4">
        <f>ROUND(Levels!P93, 0)</f>
        <v>59</v>
      </c>
      <c r="E94" s="5">
        <f>ROUND(Levels!P93-Levels!N93, 1)</f>
        <v>-4.2</v>
      </c>
      <c r="F94" s="5">
        <f>ROUND(Levels!P93-Levels!O93, 1)</f>
        <v>-4.2</v>
      </c>
      <c r="G94" s="4">
        <f>ROUND(Levels!R93, 0)</f>
        <v>60</v>
      </c>
      <c r="H94" s="5">
        <f>ROUND(Levels!R93-Levels!N93, 1)</f>
        <v>-3</v>
      </c>
      <c r="I94" s="5">
        <f>ROUND(Levels!R93-Levels!Q93, 1)</f>
        <v>-3.9</v>
      </c>
      <c r="J94" t="s">
        <v>237</v>
      </c>
    </row>
    <row r="95" spans="2:10" x14ac:dyDescent="0.25">
      <c r="B95" t="str">
        <f>Levels!B94</f>
        <v>High Garth</v>
      </c>
      <c r="C95" s="4">
        <f>Levels!N94</f>
        <v>63.3</v>
      </c>
      <c r="D95" s="4">
        <f>ROUND(Levels!P94, 0)</f>
        <v>59</v>
      </c>
      <c r="E95" s="5">
        <f>ROUND(Levels!P94-Levels!N94, 1)</f>
        <v>-4.3</v>
      </c>
      <c r="F95" s="5">
        <f>ROUND(Levels!P94-Levels!O94, 1)</f>
        <v>-4.4000000000000004</v>
      </c>
      <c r="G95" s="4">
        <f>ROUND(Levels!R94, 0)</f>
        <v>60</v>
      </c>
      <c r="H95" s="5">
        <f>ROUND(Levels!R94-Levels!N94, 1)</f>
        <v>-3.1</v>
      </c>
      <c r="I95" s="5">
        <f>ROUND(Levels!R94-Levels!Q94, 1)</f>
        <v>-4.0999999999999996</v>
      </c>
      <c r="J95" t="s">
        <v>237</v>
      </c>
    </row>
    <row r="96" spans="2:10" x14ac:dyDescent="0.25">
      <c r="B96" t="str">
        <f>Levels!B95</f>
        <v>Hill Lodge</v>
      </c>
      <c r="C96" s="4">
        <f>Levels!N95</f>
        <v>63</v>
      </c>
      <c r="D96" s="4">
        <f>ROUND(Levels!P95, 0)</f>
        <v>60</v>
      </c>
      <c r="E96" s="5">
        <f>ROUND(Levels!P95-Levels!N95, 1)</f>
        <v>-3.2</v>
      </c>
      <c r="F96" s="5">
        <f>ROUND(Levels!P95-Levels!O95, 1)</f>
        <v>-3.2</v>
      </c>
      <c r="G96" s="4">
        <f>ROUND(Levels!R95, 0)</f>
        <v>61</v>
      </c>
      <c r="H96" s="5">
        <f>ROUND(Levels!R95-Levels!N95, 1)</f>
        <v>-2.2000000000000002</v>
      </c>
      <c r="I96" s="5">
        <f>ROUND(Levels!R95-Levels!Q95, 1)</f>
        <v>-3.1</v>
      </c>
      <c r="J96" t="s">
        <v>237</v>
      </c>
    </row>
    <row r="97" spans="2:10" x14ac:dyDescent="0.25">
      <c r="B97" t="str">
        <f>Levels!B96</f>
        <v>Shindells</v>
      </c>
      <c r="C97" s="4">
        <f>Levels!N96</f>
        <v>65.599999999999994</v>
      </c>
      <c r="D97" s="4">
        <f>ROUND(Levels!P96, 0)</f>
        <v>61</v>
      </c>
      <c r="E97" s="5">
        <f>ROUND(Levels!P96-Levels!N96, 1)</f>
        <v>-4.8</v>
      </c>
      <c r="F97" s="5">
        <f>ROUND(Levels!P96-Levels!O96, 1)</f>
        <v>-4.8</v>
      </c>
      <c r="G97" s="4">
        <f>ROUND(Levels!R96, 0)</f>
        <v>62</v>
      </c>
      <c r="H97" s="5">
        <f>ROUND(Levels!R96-Levels!N96, 1)</f>
        <v>-3.5</v>
      </c>
      <c r="I97" s="5">
        <f>ROUND(Levels!R96-Levels!Q96, 1)</f>
        <v>-4.5</v>
      </c>
      <c r="J97" t="s">
        <v>237</v>
      </c>
    </row>
    <row r="98" spans="2:10" x14ac:dyDescent="0.25">
      <c r="B98" t="str">
        <f>Levels!B97</f>
        <v>Wyndlee</v>
      </c>
      <c r="C98" s="4">
        <f>Levels!N97</f>
        <v>61.8</v>
      </c>
      <c r="D98" s="4">
        <f>ROUND(Levels!P97, 0)</f>
        <v>57</v>
      </c>
      <c r="E98" s="5">
        <f>ROUND(Levels!P97-Levels!N97, 1)</f>
        <v>-4.5999999999999996</v>
      </c>
      <c r="F98" s="5">
        <f>ROUND(Levels!P97-Levels!O97, 1)</f>
        <v>-4.5999999999999996</v>
      </c>
      <c r="G98" s="4">
        <f>ROUND(Levels!R97, 0)</f>
        <v>59</v>
      </c>
      <c r="H98" s="5">
        <f>ROUND(Levels!R97-Levels!N97, 1)</f>
        <v>-3.3</v>
      </c>
      <c r="I98" s="5">
        <f>ROUND(Levels!R97-Levels!Q97, 1)</f>
        <v>-4.3</v>
      </c>
      <c r="J98" t="s">
        <v>237</v>
      </c>
    </row>
    <row r="99" spans="2:10" x14ac:dyDescent="0.25">
      <c r="B99" t="str">
        <f>Levels!B98</f>
        <v>Alwinds</v>
      </c>
      <c r="C99" s="4">
        <f>Levels!N98</f>
        <v>65.099999999999994</v>
      </c>
      <c r="D99" s="4">
        <f>ROUND(Levels!P98, 0)</f>
        <v>60</v>
      </c>
      <c r="E99" s="5">
        <f>ROUND(Levels!P98-Levels!N98, 1)</f>
        <v>-5.0999999999999996</v>
      </c>
      <c r="F99" s="5">
        <f>ROUND(Levels!P98-Levels!O98, 1)</f>
        <v>-5.0999999999999996</v>
      </c>
      <c r="G99" s="4">
        <f>ROUND(Levels!R98, 0)</f>
        <v>61</v>
      </c>
      <c r="H99" s="5">
        <f>ROUND(Levels!R98-Levels!N98, 1)</f>
        <v>-3.8</v>
      </c>
      <c r="I99" s="5">
        <f>ROUND(Levels!R98-Levels!Q98, 1)</f>
        <v>-4.8</v>
      </c>
      <c r="J99" t="s">
        <v>237</v>
      </c>
    </row>
    <row r="100" spans="2:10" x14ac:dyDescent="0.25">
      <c r="B100" t="str">
        <f>Levels!B99</f>
        <v>Windy Ridge</v>
      </c>
      <c r="C100" s="4">
        <f>Levels!N99</f>
        <v>65</v>
      </c>
      <c r="D100" s="4">
        <f>ROUND(Levels!P99, 0)</f>
        <v>60</v>
      </c>
      <c r="E100" s="5">
        <f>ROUND(Levels!P99-Levels!N99, 1)</f>
        <v>-5.3</v>
      </c>
      <c r="F100" s="5">
        <f>ROUND(Levels!P99-Levels!O99, 1)</f>
        <v>-5.3</v>
      </c>
      <c r="G100" s="4">
        <f>ROUND(Levels!R99, 0)</f>
        <v>61</v>
      </c>
      <c r="H100" s="5">
        <f>ROUND(Levels!R99-Levels!N99, 1)</f>
        <v>-3.9</v>
      </c>
      <c r="I100" s="5">
        <f>ROUND(Levels!R99-Levels!Q99, 1)</f>
        <v>-4.9000000000000004</v>
      </c>
      <c r="J100" t="s">
        <v>237</v>
      </c>
    </row>
    <row r="101" spans="2:10" x14ac:dyDescent="0.25">
      <c r="B101" t="str">
        <f>Levels!B100</f>
        <v>Jersey Cottage</v>
      </c>
      <c r="C101" s="4">
        <f>Levels!N100</f>
        <v>63.7</v>
      </c>
      <c r="D101" s="4">
        <f>ROUND(Levels!P100, 0)</f>
        <v>60</v>
      </c>
      <c r="E101" s="5">
        <f>ROUND(Levels!P100-Levels!N100, 1)</f>
        <v>-4.0999999999999996</v>
      </c>
      <c r="F101" s="5">
        <f>ROUND(Levels!P100-Levels!O100, 1)</f>
        <v>-4.0999999999999996</v>
      </c>
      <c r="G101" s="4">
        <f>ROUND(Levels!R100, 0)</f>
        <v>61</v>
      </c>
      <c r="H101" s="5">
        <f>ROUND(Levels!R100-Levels!N100, 1)</f>
        <v>-2.9</v>
      </c>
      <c r="I101" s="5">
        <f>ROUND(Levels!R100-Levels!Q100, 1)</f>
        <v>-3.9</v>
      </c>
      <c r="J101" t="s">
        <v>237</v>
      </c>
    </row>
    <row r="102" spans="2:10" x14ac:dyDescent="0.25">
      <c r="B102" t="str">
        <f>Levels!B101</f>
        <v>Canterbury House</v>
      </c>
      <c r="C102" s="4">
        <f>Levels!N101</f>
        <v>63.7</v>
      </c>
      <c r="D102" s="4">
        <f>ROUND(Levels!P101, 0)</f>
        <v>60</v>
      </c>
      <c r="E102" s="5">
        <f>ROUND(Levels!P101-Levels!N101, 1)</f>
        <v>-3.8</v>
      </c>
      <c r="F102" s="5">
        <f>ROUND(Levels!P101-Levels!O101, 1)</f>
        <v>-3.8</v>
      </c>
      <c r="G102" s="4">
        <f>ROUND(Levels!R101, 0)</f>
        <v>61</v>
      </c>
      <c r="H102" s="5">
        <f>ROUND(Levels!R101-Levels!N101, 1)</f>
        <v>-2.7</v>
      </c>
      <c r="I102" s="5">
        <f>ROUND(Levels!R101-Levels!Q101, 1)</f>
        <v>-3.7</v>
      </c>
      <c r="J102" t="s">
        <v>237</v>
      </c>
    </row>
    <row r="103" spans="2:10" x14ac:dyDescent="0.25">
      <c r="B103" t="str">
        <f>Levels!B102</f>
        <v>Millstone House</v>
      </c>
      <c r="C103" s="4">
        <f>Levels!N102</f>
        <v>63.7</v>
      </c>
      <c r="D103" s="4">
        <f>ROUND(Levels!P102, 0)</f>
        <v>60</v>
      </c>
      <c r="E103" s="5">
        <f>ROUND(Levels!P102-Levels!N102, 1)</f>
        <v>-3.9</v>
      </c>
      <c r="F103" s="5">
        <f>ROUND(Levels!P102-Levels!O102, 1)</f>
        <v>-4</v>
      </c>
      <c r="G103" s="4">
        <f>ROUND(Levels!R102, 0)</f>
        <v>61</v>
      </c>
      <c r="H103" s="5">
        <f>ROUND(Levels!R102-Levels!N102, 1)</f>
        <v>-2.8</v>
      </c>
      <c r="I103" s="5">
        <f>ROUND(Levels!R102-Levels!Q102, 1)</f>
        <v>-3.8</v>
      </c>
      <c r="J103" t="s">
        <v>237</v>
      </c>
    </row>
    <row r="104" spans="2:10" x14ac:dyDescent="0.25">
      <c r="B104" t="str">
        <f>Levels!B103</f>
        <v>Elwick House</v>
      </c>
      <c r="C104" s="4">
        <f>Levels!N103</f>
        <v>63.2</v>
      </c>
      <c r="D104" s="4">
        <f>ROUND(Levels!P103, 0)</f>
        <v>59</v>
      </c>
      <c r="E104" s="5">
        <f>ROUND(Levels!P103-Levels!N103, 1)</f>
        <v>-4.2</v>
      </c>
      <c r="F104" s="5">
        <f>ROUND(Levels!P103-Levels!O103, 1)</f>
        <v>-4.2</v>
      </c>
      <c r="G104" s="4">
        <f>ROUND(Levels!R103, 0)</f>
        <v>60</v>
      </c>
      <c r="H104" s="5">
        <f>ROUND(Levels!R103-Levels!N103, 1)</f>
        <v>-3</v>
      </c>
      <c r="I104" s="5">
        <f>ROUND(Levels!R103-Levels!Q103, 1)</f>
        <v>-3.9</v>
      </c>
      <c r="J104" t="s">
        <v>237</v>
      </c>
    </row>
    <row r="105" spans="2:10" x14ac:dyDescent="0.25">
      <c r="B105" t="str">
        <f>Levels!B104</f>
        <v>Greencroft</v>
      </c>
      <c r="C105" s="4">
        <f>Levels!N104</f>
        <v>57.1</v>
      </c>
      <c r="D105" s="4">
        <f>ROUND(Levels!P104, 0)</f>
        <v>57</v>
      </c>
      <c r="E105" s="5">
        <f>ROUND(Levels!P104-Levels!N104, 1)</f>
        <v>0.1</v>
      </c>
      <c r="F105" s="5">
        <f>ROUND(Levels!P104-Levels!O104, 1)</f>
        <v>0.1</v>
      </c>
      <c r="G105" s="4">
        <f>ROUND(Levels!R104, 0)</f>
        <v>58</v>
      </c>
      <c r="H105" s="5">
        <f>ROUND(Levels!R104-Levels!N104, 1)</f>
        <v>0.8</v>
      </c>
      <c r="I105" s="5">
        <f>ROUND(Levels!R104-Levels!Q104, 1)</f>
        <v>0.2</v>
      </c>
      <c r="J105" t="s">
        <v>237</v>
      </c>
    </row>
    <row r="106" spans="2:10" x14ac:dyDescent="0.25">
      <c r="B106" t="str">
        <f>Levels!B105</f>
        <v>Bee Cott</v>
      </c>
      <c r="C106" s="4">
        <f>Levels!N105</f>
        <v>64.7</v>
      </c>
      <c r="D106" s="4">
        <f>ROUND(Levels!P105, 0)</f>
        <v>55</v>
      </c>
      <c r="E106" s="5">
        <f>ROUND(Levels!P105-Levels!N105, 1)</f>
        <v>-9.4</v>
      </c>
      <c r="F106" s="5">
        <f>ROUND(Levels!P105-Levels!O105, 1)</f>
        <v>-9.5</v>
      </c>
      <c r="G106" s="4">
        <f>ROUND(Levels!R105, 0)</f>
        <v>56</v>
      </c>
      <c r="H106" s="5">
        <f>ROUND(Levels!R105-Levels!N105, 1)</f>
        <v>-8.5</v>
      </c>
      <c r="I106" s="5">
        <f>ROUND(Levels!R105-Levels!Q105, 1)</f>
        <v>-8.8000000000000007</v>
      </c>
      <c r="J106" t="s">
        <v>237</v>
      </c>
    </row>
    <row r="107" spans="2:10" x14ac:dyDescent="0.25">
      <c r="B107" t="str">
        <f>Levels!B106</f>
        <v>Church Bank Cottage</v>
      </c>
      <c r="C107" s="4">
        <f>Levels!N106</f>
        <v>65.400000000000006</v>
      </c>
      <c r="D107" s="4">
        <f>ROUND(Levels!P106, 0)</f>
        <v>55</v>
      </c>
      <c r="E107" s="5">
        <f>ROUND(Levels!P106-Levels!N106, 1)</f>
        <v>-10.4</v>
      </c>
      <c r="F107" s="5">
        <f>ROUND(Levels!P106-Levels!O106, 1)</f>
        <v>-10.5</v>
      </c>
      <c r="G107" s="4">
        <f>ROUND(Levels!R106, 0)</f>
        <v>56</v>
      </c>
      <c r="H107" s="5">
        <f>ROUND(Levels!R106-Levels!N106, 1)</f>
        <v>-9.5</v>
      </c>
      <c r="I107" s="5">
        <f>ROUND(Levels!R106-Levels!Q106, 1)</f>
        <v>-9.8000000000000007</v>
      </c>
      <c r="J107" t="s">
        <v>237</v>
      </c>
    </row>
    <row r="108" spans="2:10" x14ac:dyDescent="0.25">
      <c r="B108" t="str">
        <f>Levels!B107</f>
        <v>Hazel Bank Cottage</v>
      </c>
      <c r="C108" s="4">
        <f>Levels!N107</f>
        <v>65.8</v>
      </c>
      <c r="D108" s="4">
        <f>ROUND(Levels!P107, 0)</f>
        <v>55</v>
      </c>
      <c r="E108" s="5">
        <f>ROUND(Levels!P107-Levels!N107, 1)</f>
        <v>-10.8</v>
      </c>
      <c r="F108" s="5">
        <f>ROUND(Levels!P107-Levels!O107, 1)</f>
        <v>-10.9</v>
      </c>
      <c r="G108" s="4">
        <f>ROUND(Levels!R107, 0)</f>
        <v>56</v>
      </c>
      <c r="H108" s="5">
        <f>ROUND(Levels!R107-Levels!N107, 1)</f>
        <v>-9.9</v>
      </c>
      <c r="I108" s="5">
        <f>ROUND(Levels!R107-Levels!Q107, 1)</f>
        <v>-10.199999999999999</v>
      </c>
      <c r="J108" t="s">
        <v>237</v>
      </c>
    </row>
    <row r="109" spans="2:10" x14ac:dyDescent="0.25">
      <c r="B109" t="str">
        <f>Levels!B108</f>
        <v>St Peter's Church</v>
      </c>
      <c r="C109" s="4">
        <f>Levels!N108</f>
        <v>62.5</v>
      </c>
      <c r="D109" s="4">
        <f>ROUND(Levels!P108, 0)</f>
        <v>60</v>
      </c>
      <c r="E109" s="5">
        <f>ROUND(Levels!P108-Levels!N108, 1)</f>
        <v>-2.1</v>
      </c>
      <c r="F109" s="5">
        <f>ROUND(Levels!P108-Levels!O108, 1)</f>
        <v>-2.1</v>
      </c>
      <c r="G109" s="4">
        <f>ROUND(Levels!R108, 0)</f>
        <v>61</v>
      </c>
      <c r="H109" s="5">
        <f>ROUND(Levels!R108-Levels!N108, 1)</f>
        <v>-1.3</v>
      </c>
      <c r="I109" s="5">
        <f>ROUND(Levels!R108-Levels!Q108, 1)</f>
        <v>-1.7</v>
      </c>
      <c r="J109" t="s">
        <v>237</v>
      </c>
    </row>
    <row r="110" spans="2:10" x14ac:dyDescent="0.25">
      <c r="B110" t="str">
        <f>Levels!B109</f>
        <v>Longcross</v>
      </c>
      <c r="C110" s="4">
        <f>Levels!N109</f>
        <v>68.3</v>
      </c>
      <c r="D110" s="4">
        <f>ROUND(Levels!P109, 0)</f>
        <v>68</v>
      </c>
      <c r="E110" s="5">
        <f>ROUND(Levels!P109-Levels!N109, 1)</f>
        <v>-0.5</v>
      </c>
      <c r="F110" s="5">
        <f>ROUND(Levels!P109-Levels!O109, 1)</f>
        <v>-0.5</v>
      </c>
      <c r="G110" s="4">
        <f>ROUND(Levels!R109, 0)</f>
        <v>69</v>
      </c>
      <c r="H110" s="5">
        <f>ROUND(Levels!R109-Levels!N109, 1)</f>
        <v>0.3</v>
      </c>
      <c r="I110" s="5">
        <f>ROUND(Levels!R109-Levels!Q109, 1)</f>
        <v>-0.2</v>
      </c>
      <c r="J110" t="s">
        <v>237</v>
      </c>
    </row>
    <row r="111" spans="2:10" x14ac:dyDescent="0.25">
      <c r="B111" t="str">
        <f>Levels!B110</f>
        <v>Sunrise Cottage</v>
      </c>
      <c r="C111" s="4">
        <f>Levels!N110</f>
        <v>75.599999999999994</v>
      </c>
      <c r="D111" s="4">
        <f>ROUND(Levels!P110, 0)</f>
        <v>76</v>
      </c>
      <c r="E111" s="5">
        <f>ROUND(Levels!P110-Levels!N110, 1)</f>
        <v>0</v>
      </c>
      <c r="F111" s="5">
        <f>ROUND(Levels!P110-Levels!O110, 1)</f>
        <v>0</v>
      </c>
      <c r="G111" s="4">
        <f>ROUND(Levels!R110, 0)</f>
        <v>76</v>
      </c>
      <c r="H111" s="5">
        <f>ROUND(Levels!R110-Levels!N110, 1)</f>
        <v>0.7</v>
      </c>
      <c r="I111" s="5">
        <f>ROUND(Levels!R110-Levels!Q110, 1)</f>
        <v>-0.1</v>
      </c>
      <c r="J111" t="s">
        <v>237</v>
      </c>
    </row>
    <row r="112" spans="2:10" x14ac:dyDescent="0.25">
      <c r="B112" t="str">
        <f>Levels!B111</f>
        <v>The Hawthorns</v>
      </c>
      <c r="C112" s="4">
        <f>Levels!N111</f>
        <v>81</v>
      </c>
      <c r="D112" s="4">
        <f>ROUND(Levels!P111, 0)</f>
        <v>81</v>
      </c>
      <c r="E112" s="5">
        <f>ROUND(Levels!P111-Levels!N111, 1)</f>
        <v>0</v>
      </c>
      <c r="F112" s="5">
        <f>ROUND(Levels!P111-Levels!O111, 1)</f>
        <v>-0.1</v>
      </c>
      <c r="G112" s="4">
        <f>ROUND(Levels!R111, 0)</f>
        <v>82</v>
      </c>
      <c r="H112" s="5">
        <f>ROUND(Levels!R111-Levels!N111, 1)</f>
        <v>0.8</v>
      </c>
      <c r="I112" s="5">
        <f>ROUND(Levels!R111-Levels!Q111, 1)</f>
        <v>-0.1</v>
      </c>
      <c r="J112" t="s">
        <v>237</v>
      </c>
    </row>
    <row r="113" spans="2:10" x14ac:dyDescent="0.25">
      <c r="B113" t="str">
        <f>Levels!B112</f>
        <v>Benknowle</v>
      </c>
      <c r="C113" s="4">
        <f>Levels!N112</f>
        <v>74.7</v>
      </c>
      <c r="D113" s="4">
        <f>ROUND(Levels!P112, 0)</f>
        <v>75</v>
      </c>
      <c r="E113" s="5">
        <f>ROUND(Levels!P112-Levels!N112, 1)</f>
        <v>0</v>
      </c>
      <c r="F113" s="5">
        <f>ROUND(Levels!P112-Levels!O112, 1)</f>
        <v>0</v>
      </c>
      <c r="G113" s="4">
        <f>ROUND(Levels!R112, 0)</f>
        <v>76</v>
      </c>
      <c r="H113" s="5">
        <f>ROUND(Levels!R112-Levels!N112, 1)</f>
        <v>0.8</v>
      </c>
      <c r="I113" s="5">
        <f>ROUND(Levels!R112-Levels!Q112, 1)</f>
        <v>0</v>
      </c>
      <c r="J113" t="s">
        <v>237</v>
      </c>
    </row>
    <row r="114" spans="2:10" x14ac:dyDescent="0.25">
      <c r="B114" t="str">
        <f>Levels!B113</f>
        <v>Mill House</v>
      </c>
      <c r="C114" s="4">
        <f>Levels!N113</f>
        <v>69.900000000000006</v>
      </c>
      <c r="D114" s="4">
        <f>ROUND(Levels!P113, 0)</f>
        <v>70</v>
      </c>
      <c r="E114" s="5">
        <f>ROUND(Levels!P113-Levels!N113, 1)</f>
        <v>0.1</v>
      </c>
      <c r="F114" s="5">
        <f>ROUND(Levels!P113-Levels!O113, 1)</f>
        <v>0</v>
      </c>
      <c r="G114" s="4">
        <f>ROUND(Levels!R113, 0)</f>
        <v>71</v>
      </c>
      <c r="H114" s="5">
        <f>ROUND(Levels!R113-Levels!N113, 1)</f>
        <v>0.8</v>
      </c>
      <c r="I114" s="5">
        <f>ROUND(Levels!R113-Levels!Q113, 1)</f>
        <v>-0.1</v>
      </c>
      <c r="J114" t="s">
        <v>237</v>
      </c>
    </row>
    <row r="115" spans="2:10" x14ac:dyDescent="0.25">
      <c r="B115" t="str">
        <f>Levels!B114</f>
        <v>Woodland House</v>
      </c>
      <c r="C115" s="4">
        <f>Levels!N114</f>
        <v>67.8</v>
      </c>
      <c r="D115" s="4">
        <f>ROUND(Levels!P114, 0)</f>
        <v>68</v>
      </c>
      <c r="E115" s="5">
        <f>ROUND(Levels!P114-Levels!N114, 1)</f>
        <v>0</v>
      </c>
      <c r="F115" s="5">
        <f>ROUND(Levels!P114-Levels!O114, 1)</f>
        <v>-0.1</v>
      </c>
      <c r="G115" s="4">
        <f>ROUND(Levels!R114, 0)</f>
        <v>69</v>
      </c>
      <c r="H115" s="5">
        <f>ROUND(Levels!R114-Levels!N114, 1)</f>
        <v>0.8</v>
      </c>
      <c r="I115" s="5">
        <f>ROUND(Levels!R114-Levels!Q114, 1)</f>
        <v>0.1</v>
      </c>
      <c r="J115" t="s">
        <v>237</v>
      </c>
    </row>
    <row r="116" spans="2:10" x14ac:dyDescent="0.25">
      <c r="B116" t="str">
        <f>Levels!B115</f>
        <v>North Close 8</v>
      </c>
      <c r="C116" s="4">
        <f>Levels!N115</f>
        <v>55.9</v>
      </c>
      <c r="D116" s="4">
        <f>ROUND(Levels!P115, 0)</f>
        <v>56</v>
      </c>
      <c r="E116" s="5">
        <f>ROUND(Levels!P115-Levels!N115, 1)</f>
        <v>-0.3</v>
      </c>
      <c r="F116" s="5">
        <f>ROUND(Levels!P115-Levels!O115, 1)</f>
        <v>-0.4</v>
      </c>
      <c r="G116" s="4">
        <f>ROUND(Levels!R115, 0)</f>
        <v>56</v>
      </c>
      <c r="H116" s="5">
        <f>ROUND(Levels!R115-Levels!N115, 1)</f>
        <v>0.3</v>
      </c>
      <c r="I116" s="5">
        <f>ROUND(Levels!R115-Levels!Q115, 1)</f>
        <v>0</v>
      </c>
      <c r="J116" t="s">
        <v>237</v>
      </c>
    </row>
    <row r="117" spans="2:10" x14ac:dyDescent="0.25">
      <c r="B117" t="str">
        <f>Levels!B116</f>
        <v>North Close 9</v>
      </c>
      <c r="C117" s="4">
        <f>Levels!N116</f>
        <v>55.2</v>
      </c>
      <c r="D117" s="4">
        <f>ROUND(Levels!P116, 0)</f>
        <v>55</v>
      </c>
      <c r="E117" s="5">
        <f>ROUND(Levels!P116-Levels!N116, 1)</f>
        <v>0</v>
      </c>
      <c r="F117" s="5">
        <f>ROUND(Levels!P116-Levels!O116, 1)</f>
        <v>-0.1</v>
      </c>
      <c r="G117" s="4">
        <f>ROUND(Levels!R116, 0)</f>
        <v>56</v>
      </c>
      <c r="H117" s="5">
        <f>ROUND(Levels!R116-Levels!N116, 1)</f>
        <v>0.7</v>
      </c>
      <c r="I117" s="5">
        <f>ROUND(Levels!R116-Levels!Q116, 1)</f>
        <v>0.4</v>
      </c>
      <c r="J117" t="s">
        <v>237</v>
      </c>
    </row>
    <row r="118" spans="2:10" x14ac:dyDescent="0.25">
      <c r="B118" t="str">
        <f>Levels!B117</f>
        <v>North Close 10</v>
      </c>
      <c r="C118" s="4">
        <f>Levels!N117</f>
        <v>56.2</v>
      </c>
      <c r="D118" s="4">
        <f>ROUND(Levels!P117, 0)</f>
        <v>56</v>
      </c>
      <c r="E118" s="5">
        <f>ROUND(Levels!P117-Levels!N117, 1)</f>
        <v>0.1</v>
      </c>
      <c r="F118" s="5">
        <f>ROUND(Levels!P117-Levels!O117, 1)</f>
        <v>0</v>
      </c>
      <c r="G118" s="4">
        <f>ROUND(Levels!R117, 0)</f>
        <v>57</v>
      </c>
      <c r="H118" s="5">
        <f>ROUND(Levels!R117-Levels!N117, 1)</f>
        <v>0.9</v>
      </c>
      <c r="I118" s="5">
        <f>ROUND(Levels!R117-Levels!Q117, 1)</f>
        <v>0.5</v>
      </c>
      <c r="J118" t="s">
        <v>237</v>
      </c>
    </row>
    <row r="119" spans="2:10" x14ac:dyDescent="0.25">
      <c r="B119" t="str">
        <f>Levels!B118</f>
        <v>North Close 11</v>
      </c>
      <c r="C119" s="4">
        <f>Levels!N118</f>
        <v>57.7</v>
      </c>
      <c r="D119" s="4">
        <f>ROUND(Levels!P118, 0)</f>
        <v>58</v>
      </c>
      <c r="E119" s="5">
        <f>ROUND(Levels!P118-Levels!N118, 1)</f>
        <v>0.1</v>
      </c>
      <c r="F119" s="5">
        <f>ROUND(Levels!P118-Levels!O118, 1)</f>
        <v>0</v>
      </c>
      <c r="G119" s="4">
        <f>ROUND(Levels!R118, 0)</f>
        <v>59</v>
      </c>
      <c r="H119" s="5">
        <f>ROUND(Levels!R118-Levels!N118, 1)</f>
        <v>0.9</v>
      </c>
      <c r="I119" s="5">
        <f>ROUND(Levels!R118-Levels!Q118, 1)</f>
        <v>0.5</v>
      </c>
      <c r="J119" t="s">
        <v>237</v>
      </c>
    </row>
    <row r="120" spans="2:10" x14ac:dyDescent="0.25">
      <c r="B120" t="str">
        <f>Levels!B119</f>
        <v>North Close 12</v>
      </c>
      <c r="C120" s="4">
        <f>Levels!N119</f>
        <v>55.4</v>
      </c>
      <c r="D120" s="4">
        <f>ROUND(Levels!P119, 0)</f>
        <v>56</v>
      </c>
      <c r="E120" s="5">
        <f>ROUND(Levels!P119-Levels!N119, 1)</f>
        <v>0.3</v>
      </c>
      <c r="F120" s="5">
        <f>ROUND(Levels!P119-Levels!O119, 1)</f>
        <v>0.2</v>
      </c>
      <c r="G120" s="4">
        <f>ROUND(Levels!R119, 0)</f>
        <v>57</v>
      </c>
      <c r="H120" s="5">
        <f>ROUND(Levels!R119-Levels!N119, 1)</f>
        <v>1.1000000000000001</v>
      </c>
      <c r="I120" s="5">
        <f>ROUND(Levels!R119-Levels!Q119, 1)</f>
        <v>1</v>
      </c>
      <c r="J120" t="s">
        <v>237</v>
      </c>
    </row>
    <row r="121" spans="2:10" x14ac:dyDescent="0.25">
      <c r="B121" t="str">
        <f>Levels!B120</f>
        <v>North Close 13</v>
      </c>
      <c r="C121" s="4">
        <f>Levels!N120</f>
        <v>56.7</v>
      </c>
      <c r="D121" s="4">
        <f>ROUND(Levels!P120, 0)</f>
        <v>57</v>
      </c>
      <c r="E121" s="5">
        <f>ROUND(Levels!P120-Levels!N120, 1)</f>
        <v>0.3</v>
      </c>
      <c r="F121" s="5">
        <f>ROUND(Levels!P120-Levels!O120, 1)</f>
        <v>0.2</v>
      </c>
      <c r="G121" s="4">
        <f>ROUND(Levels!R120, 0)</f>
        <v>58</v>
      </c>
      <c r="H121" s="5">
        <f>ROUND(Levels!R120-Levels!N120, 1)</f>
        <v>1</v>
      </c>
      <c r="I121" s="5">
        <f>ROUND(Levels!R120-Levels!Q120, 1)</f>
        <v>1</v>
      </c>
      <c r="J121" t="s">
        <v>237</v>
      </c>
    </row>
    <row r="122" spans="2:10" x14ac:dyDescent="0.25">
      <c r="B122" t="str">
        <f>Levels!B121</f>
        <v>North Close 16</v>
      </c>
      <c r="C122" s="4">
        <f>Levels!N121</f>
        <v>62</v>
      </c>
      <c r="D122" s="4">
        <f>ROUND(Levels!P121, 0)</f>
        <v>62</v>
      </c>
      <c r="E122" s="5">
        <f>ROUND(Levels!P121-Levels!N121, 1)</f>
        <v>0.1</v>
      </c>
      <c r="F122" s="5">
        <f>ROUND(Levels!P121-Levels!O121, 1)</f>
        <v>0</v>
      </c>
      <c r="G122" s="4">
        <f>ROUND(Levels!R121, 0)</f>
        <v>63</v>
      </c>
      <c r="H122" s="5">
        <f>ROUND(Levels!R121-Levels!N121, 1)</f>
        <v>0.8</v>
      </c>
      <c r="I122" s="5">
        <f>ROUND(Levels!R121-Levels!Q121, 1)</f>
        <v>0.5</v>
      </c>
      <c r="J122" t="s">
        <v>237</v>
      </c>
    </row>
    <row r="123" spans="2:10" x14ac:dyDescent="0.25">
      <c r="B123" t="str">
        <f>Levels!B122</f>
        <v>North Close 17</v>
      </c>
      <c r="C123" s="4">
        <f>Levels!N122</f>
        <v>56.3</v>
      </c>
      <c r="D123" s="4">
        <f>ROUND(Levels!P122, 0)</f>
        <v>56</v>
      </c>
      <c r="E123" s="5">
        <f>ROUND(Levels!P122-Levels!N122, 1)</f>
        <v>-0.7</v>
      </c>
      <c r="F123" s="5">
        <f>ROUND(Levels!P122-Levels!O122, 1)</f>
        <v>-0.8</v>
      </c>
      <c r="G123" s="4">
        <f>ROUND(Levels!R122, 0)</f>
        <v>56</v>
      </c>
      <c r="H123" s="5">
        <f>ROUND(Levels!R122-Levels!N122, 1)</f>
        <v>0</v>
      </c>
      <c r="I123" s="5">
        <f>ROUND(Levels!R122-Levels!Q122, 1)</f>
        <v>0</v>
      </c>
      <c r="J123" t="s">
        <v>237</v>
      </c>
    </row>
    <row r="124" spans="2:10" x14ac:dyDescent="0.25">
      <c r="B124" t="str">
        <f>Levels!B123</f>
        <v>North Close 18</v>
      </c>
      <c r="C124" s="4">
        <f>Levels!N123</f>
        <v>56.3</v>
      </c>
      <c r="D124" s="4">
        <f>ROUND(Levels!P123, 0)</f>
        <v>56</v>
      </c>
      <c r="E124" s="5">
        <f>ROUND(Levels!P123-Levels!N123, 1)</f>
        <v>-0.8</v>
      </c>
      <c r="F124" s="5">
        <f>ROUND(Levels!P123-Levels!O123, 1)</f>
        <v>-0.8</v>
      </c>
      <c r="G124" s="4">
        <f>ROUND(Levels!R123, 0)</f>
        <v>56</v>
      </c>
      <c r="H124" s="5">
        <f>ROUND(Levels!R123-Levels!N123, 1)</f>
        <v>-0.1</v>
      </c>
      <c r="I124" s="5">
        <f>ROUND(Levels!R123-Levels!Q123, 1)</f>
        <v>0</v>
      </c>
      <c r="J124" t="s">
        <v>237</v>
      </c>
    </row>
    <row r="125" spans="2:10" x14ac:dyDescent="0.25">
      <c r="B125" t="str">
        <f>Levels!B124</f>
        <v>North Close 20</v>
      </c>
      <c r="C125" s="4">
        <f>Levels!N124</f>
        <v>62</v>
      </c>
      <c r="D125" s="4">
        <f>ROUND(Levels!P124, 0)</f>
        <v>62</v>
      </c>
      <c r="E125" s="5">
        <f>ROUND(Levels!P124-Levels!N124, 1)</f>
        <v>-0.1</v>
      </c>
      <c r="F125" s="5">
        <f>ROUND(Levels!P124-Levels!O124, 1)</f>
        <v>-0.1</v>
      </c>
      <c r="G125" s="4">
        <f>ROUND(Levels!R124, 0)</f>
        <v>63</v>
      </c>
      <c r="H125" s="5">
        <f>ROUND(Levels!R124-Levels!N124, 1)</f>
        <v>0.6</v>
      </c>
      <c r="I125" s="5">
        <f>ROUND(Levels!R124-Levels!Q124, 1)</f>
        <v>0.2</v>
      </c>
      <c r="J125" t="s">
        <v>237</v>
      </c>
    </row>
    <row r="126" spans="2:10" x14ac:dyDescent="0.25">
      <c r="B126" t="str">
        <f>Levels!B125</f>
        <v>North Close 21</v>
      </c>
      <c r="C126" s="4">
        <f>Levels!N125</f>
        <v>62.2</v>
      </c>
      <c r="D126" s="4">
        <f>ROUND(Levels!P125, 0)</f>
        <v>62</v>
      </c>
      <c r="E126" s="5">
        <f>ROUND(Levels!P125-Levels!N125, 1)</f>
        <v>-0.2</v>
      </c>
      <c r="F126" s="5">
        <f>ROUND(Levels!P125-Levels!O125, 1)</f>
        <v>-0.3</v>
      </c>
      <c r="G126" s="4">
        <f>ROUND(Levels!R125, 0)</f>
        <v>63</v>
      </c>
      <c r="H126" s="5">
        <f>ROUND(Levels!R125-Levels!N125, 1)</f>
        <v>0.5</v>
      </c>
      <c r="I126" s="5">
        <f>ROUND(Levels!R125-Levels!Q125, 1)</f>
        <v>0.1</v>
      </c>
      <c r="J126" t="s">
        <v>237</v>
      </c>
    </row>
    <row r="127" spans="2:10" x14ac:dyDescent="0.25">
      <c r="B127" t="str">
        <f>Levels!B126</f>
        <v>North Close 2</v>
      </c>
      <c r="C127" s="4">
        <f>Levels!N126</f>
        <v>64.2</v>
      </c>
      <c r="D127" s="4">
        <f>ROUND(Levels!P126, 0)</f>
        <v>64</v>
      </c>
      <c r="E127" s="5">
        <f>ROUND(Levels!P126-Levels!N126, 1)</f>
        <v>-0.2</v>
      </c>
      <c r="F127" s="5">
        <f>ROUND(Levels!P126-Levels!O126, 1)</f>
        <v>-0.2</v>
      </c>
      <c r="G127" s="4">
        <f>ROUND(Levels!R126, 0)</f>
        <v>65</v>
      </c>
      <c r="H127" s="5">
        <f>ROUND(Levels!R126-Levels!N126, 1)</f>
        <v>0.4</v>
      </c>
      <c r="I127" s="5">
        <f>ROUND(Levels!R126-Levels!Q126, 1)</f>
        <v>0</v>
      </c>
      <c r="J127" t="s">
        <v>237</v>
      </c>
    </row>
    <row r="128" spans="2:10" x14ac:dyDescent="0.25">
      <c r="B128" t="str">
        <f>Levels!B127</f>
        <v>North Close 3</v>
      </c>
      <c r="C128" s="4">
        <f>Levels!N127</f>
        <v>63.8</v>
      </c>
      <c r="D128" s="4">
        <f>ROUND(Levels!P127, 0)</f>
        <v>64</v>
      </c>
      <c r="E128" s="5">
        <f>ROUND(Levels!P127-Levels!N127, 1)</f>
        <v>-0.2</v>
      </c>
      <c r="F128" s="5">
        <f>ROUND(Levels!P127-Levels!O127, 1)</f>
        <v>-0.3</v>
      </c>
      <c r="G128" s="4">
        <f>ROUND(Levels!R127, 0)</f>
        <v>64</v>
      </c>
      <c r="H128" s="5">
        <f>ROUND(Levels!R127-Levels!N127, 1)</f>
        <v>0.5</v>
      </c>
      <c r="I128" s="5">
        <f>ROUND(Levels!R127-Levels!Q127, 1)</f>
        <v>0</v>
      </c>
      <c r="J128" t="s">
        <v>237</v>
      </c>
    </row>
    <row r="129" spans="2:10" x14ac:dyDescent="0.25">
      <c r="B129" t="str">
        <f>Levels!B128</f>
        <v>North Close 4</v>
      </c>
      <c r="C129" s="4">
        <f>Levels!N128</f>
        <v>63.9</v>
      </c>
      <c r="D129" s="4">
        <f>ROUND(Levels!P128, 0)</f>
        <v>64</v>
      </c>
      <c r="E129" s="5">
        <f>ROUND(Levels!P128-Levels!N128, 1)</f>
        <v>-0.1</v>
      </c>
      <c r="F129" s="5">
        <f>ROUND(Levels!P128-Levels!O128, 1)</f>
        <v>-0.2</v>
      </c>
      <c r="G129" s="4">
        <f>ROUND(Levels!R128, 0)</f>
        <v>65</v>
      </c>
      <c r="H129" s="5">
        <f>ROUND(Levels!R128-Levels!N128, 1)</f>
        <v>0.6</v>
      </c>
      <c r="I129" s="5">
        <f>ROUND(Levels!R128-Levels!Q128, 1)</f>
        <v>0.1</v>
      </c>
      <c r="J129" t="s">
        <v>237</v>
      </c>
    </row>
    <row r="130" spans="2:10" x14ac:dyDescent="0.25">
      <c r="B130" t="str">
        <f>Levels!B129</f>
        <v>North Close 5</v>
      </c>
      <c r="C130" s="4">
        <f>Levels!N129</f>
        <v>60.9</v>
      </c>
      <c r="D130" s="4">
        <f>ROUND(Levels!P129, 0)</f>
        <v>61</v>
      </c>
      <c r="E130" s="5">
        <f>ROUND(Levels!P129-Levels!N129, 1)</f>
        <v>-0.2</v>
      </c>
      <c r="F130" s="5">
        <f>ROUND(Levels!P129-Levels!O129, 1)</f>
        <v>-0.2</v>
      </c>
      <c r="G130" s="4">
        <f>ROUND(Levels!R129, 0)</f>
        <v>61</v>
      </c>
      <c r="H130" s="5">
        <f>ROUND(Levels!R129-Levels!N129, 1)</f>
        <v>0.5</v>
      </c>
      <c r="I130" s="5">
        <f>ROUND(Levels!R129-Levels!Q129, 1)</f>
        <v>0.1</v>
      </c>
      <c r="J130" t="s">
        <v>237</v>
      </c>
    </row>
    <row r="131" spans="2:10" x14ac:dyDescent="0.25">
      <c r="B131" t="str">
        <f>Levels!B130</f>
        <v>North Close 6</v>
      </c>
      <c r="C131" s="4">
        <f>Levels!N130</f>
        <v>58.5</v>
      </c>
      <c r="D131" s="4">
        <f>ROUND(Levels!P130, 0)</f>
        <v>58</v>
      </c>
      <c r="E131" s="5">
        <f>ROUND(Levels!P130-Levels!N130, 1)</f>
        <v>-0.2</v>
      </c>
      <c r="F131" s="5">
        <f>ROUND(Levels!P130-Levels!O130, 1)</f>
        <v>-0.2</v>
      </c>
      <c r="G131" s="4">
        <f>ROUND(Levels!R130, 0)</f>
        <v>59</v>
      </c>
      <c r="H131" s="5">
        <f>ROUND(Levels!R130-Levels!N130, 1)</f>
        <v>0.6</v>
      </c>
      <c r="I131" s="5">
        <f>ROUND(Levels!R130-Levels!Q130, 1)</f>
        <v>0.1</v>
      </c>
      <c r="J131" t="s">
        <v>237</v>
      </c>
    </row>
    <row r="132" spans="2:10" x14ac:dyDescent="0.25">
      <c r="B132" t="str">
        <f>Levels!B131</f>
        <v>North Lane 17</v>
      </c>
      <c r="C132" s="4">
        <f>Levels!N131</f>
        <v>58.9</v>
      </c>
      <c r="D132" s="4">
        <f>ROUND(Levels!P131, 0)</f>
        <v>56</v>
      </c>
      <c r="E132" s="5">
        <f>ROUND(Levels!P131-Levels!N131, 1)</f>
        <v>-3.1</v>
      </c>
      <c r="F132" s="5">
        <f>ROUND(Levels!P131-Levels!O131, 1)</f>
        <v>-3.2</v>
      </c>
      <c r="G132" s="4">
        <f>ROUND(Levels!R131, 0)</f>
        <v>57</v>
      </c>
      <c r="H132" s="5">
        <f>ROUND(Levels!R131-Levels!N131, 1)</f>
        <v>-2.4</v>
      </c>
      <c r="I132" s="5">
        <f>ROUND(Levels!R131-Levels!Q131, 1)</f>
        <v>-3.2</v>
      </c>
      <c r="J132" t="s">
        <v>237</v>
      </c>
    </row>
    <row r="133" spans="2:10" x14ac:dyDescent="0.25">
      <c r="B133" t="str">
        <f>Levels!B132</f>
        <v>North Lane 19</v>
      </c>
      <c r="C133" s="4">
        <f>Levels!N132</f>
        <v>58.7</v>
      </c>
      <c r="D133" s="4">
        <f>ROUND(Levels!P132, 0)</f>
        <v>55</v>
      </c>
      <c r="E133" s="5">
        <f>ROUND(Levels!P132-Levels!N132, 1)</f>
        <v>-3.6</v>
      </c>
      <c r="F133" s="5">
        <f>ROUND(Levels!P132-Levels!O132, 1)</f>
        <v>-3.6</v>
      </c>
      <c r="G133" s="4">
        <f>ROUND(Levels!R132, 0)</f>
        <v>56</v>
      </c>
      <c r="H133" s="5">
        <f>ROUND(Levels!R132-Levels!N132, 1)</f>
        <v>-2.9</v>
      </c>
      <c r="I133" s="5">
        <f>ROUND(Levels!R132-Levels!Q132, 1)</f>
        <v>-3.7</v>
      </c>
      <c r="J133" t="s">
        <v>237</v>
      </c>
    </row>
    <row r="134" spans="2:10" x14ac:dyDescent="0.25">
      <c r="B134" t="str">
        <f>Levels!B133</f>
        <v>North Lane 21</v>
      </c>
      <c r="C134" s="4">
        <f>Levels!N133</f>
        <v>58.8</v>
      </c>
      <c r="D134" s="4">
        <f>ROUND(Levels!P133, 0)</f>
        <v>55</v>
      </c>
      <c r="E134" s="5">
        <f>ROUND(Levels!P133-Levels!N133, 1)</f>
        <v>-3.6</v>
      </c>
      <c r="F134" s="5">
        <f>ROUND(Levels!P133-Levels!O133, 1)</f>
        <v>-3.6</v>
      </c>
      <c r="G134" s="4">
        <f>ROUND(Levels!R133, 0)</f>
        <v>56</v>
      </c>
      <c r="H134" s="5">
        <f>ROUND(Levels!R133-Levels!N133, 1)</f>
        <v>-2.8</v>
      </c>
      <c r="I134" s="5">
        <f>ROUND(Levels!R133-Levels!Q133, 1)</f>
        <v>-3.6</v>
      </c>
      <c r="J134" t="s">
        <v>237</v>
      </c>
    </row>
    <row r="135" spans="2:10" x14ac:dyDescent="0.25">
      <c r="B135" t="str">
        <f>Levels!B134</f>
        <v>North Lane 23</v>
      </c>
      <c r="C135" s="4">
        <f>Levels!N134</f>
        <v>58.6</v>
      </c>
      <c r="D135" s="4">
        <f>ROUND(Levels!P134, 0)</f>
        <v>55</v>
      </c>
      <c r="E135" s="5">
        <f>ROUND(Levels!P134-Levels!N134, 1)</f>
        <v>-3.9</v>
      </c>
      <c r="F135" s="5">
        <f>ROUND(Levels!P134-Levels!O134, 1)</f>
        <v>-3.9</v>
      </c>
      <c r="G135" s="4">
        <f>ROUND(Levels!R134, 0)</f>
        <v>55</v>
      </c>
      <c r="H135" s="5">
        <f>ROUND(Levels!R134-Levels!N134, 1)</f>
        <v>-3.2</v>
      </c>
      <c r="I135" s="5">
        <f>ROUND(Levels!R134-Levels!Q134, 1)</f>
        <v>-4</v>
      </c>
      <c r="J135" t="s">
        <v>237</v>
      </c>
    </row>
    <row r="136" spans="2:10" x14ac:dyDescent="0.25">
      <c r="B136" t="str">
        <f>Levels!B135</f>
        <v>North Lane 27</v>
      </c>
      <c r="C136" s="4">
        <f>Levels!N135</f>
        <v>58.6</v>
      </c>
      <c r="D136" s="4">
        <f>ROUND(Levels!P135, 0)</f>
        <v>55</v>
      </c>
      <c r="E136" s="5">
        <f>ROUND(Levels!P135-Levels!N135, 1)</f>
        <v>-3.6</v>
      </c>
      <c r="F136" s="5">
        <f>ROUND(Levels!P135-Levels!O135, 1)</f>
        <v>-3.7</v>
      </c>
      <c r="G136" s="4">
        <f>ROUND(Levels!R135, 0)</f>
        <v>56</v>
      </c>
      <c r="H136" s="5">
        <f>ROUND(Levels!R135-Levels!N135, 1)</f>
        <v>-2.9</v>
      </c>
      <c r="I136" s="5">
        <f>ROUND(Levels!R135-Levels!Q135, 1)</f>
        <v>-3.8</v>
      </c>
      <c r="J136" t="s">
        <v>237</v>
      </c>
    </row>
    <row r="137" spans="2:10" x14ac:dyDescent="0.25">
      <c r="B137" t="str">
        <f>Levels!B136</f>
        <v>North Lane 29</v>
      </c>
      <c r="C137" s="4">
        <f>Levels!N136</f>
        <v>58.5</v>
      </c>
      <c r="D137" s="4">
        <f>ROUND(Levels!P136, 0)</f>
        <v>55</v>
      </c>
      <c r="E137" s="5">
        <f>ROUND(Levels!P136-Levels!N136, 1)</f>
        <v>-3.7</v>
      </c>
      <c r="F137" s="5">
        <f>ROUND(Levels!P136-Levels!O136, 1)</f>
        <v>-3.8</v>
      </c>
      <c r="G137" s="4">
        <f>ROUND(Levels!R136, 0)</f>
        <v>56</v>
      </c>
      <c r="H137" s="5">
        <f>ROUND(Levels!R136-Levels!N136, 1)</f>
        <v>-2.9</v>
      </c>
      <c r="I137" s="5">
        <f>ROUND(Levels!R136-Levels!Q136, 1)</f>
        <v>-3.8</v>
      </c>
      <c r="J137" t="s">
        <v>237</v>
      </c>
    </row>
    <row r="138" spans="2:10" x14ac:dyDescent="0.25">
      <c r="B138" t="str">
        <f>Levels!B137</f>
        <v>North Lane 31</v>
      </c>
      <c r="C138" s="4">
        <f>Levels!N137</f>
        <v>58.7</v>
      </c>
      <c r="D138" s="4">
        <f>ROUND(Levels!P137, 0)</f>
        <v>55</v>
      </c>
      <c r="E138" s="5">
        <f>ROUND(Levels!P137-Levels!N137, 1)</f>
        <v>-3.7</v>
      </c>
      <c r="F138" s="5">
        <f>ROUND(Levels!P137-Levels!O137, 1)</f>
        <v>-3.8</v>
      </c>
      <c r="G138" s="4">
        <f>ROUND(Levels!R137, 0)</f>
        <v>56</v>
      </c>
      <c r="H138" s="5">
        <f>ROUND(Levels!R137-Levels!N137, 1)</f>
        <v>-2.9</v>
      </c>
      <c r="I138" s="5">
        <f>ROUND(Levels!R137-Levels!Q137, 1)</f>
        <v>-3.8</v>
      </c>
      <c r="J138" t="s">
        <v>237</v>
      </c>
    </row>
    <row r="139" spans="2:10" x14ac:dyDescent="0.25">
      <c r="B139" t="str">
        <f>Levels!B138</f>
        <v>The Green 41</v>
      </c>
      <c r="C139" s="4">
        <f>Levels!N138</f>
        <v>65.3</v>
      </c>
      <c r="D139" s="4">
        <f>ROUND(Levels!P138, 0)</f>
        <v>62</v>
      </c>
      <c r="E139" s="5">
        <f>ROUND(Levels!P138-Levels!N138, 1)</f>
        <v>-3</v>
      </c>
      <c r="F139" s="5">
        <f>ROUND(Levels!P138-Levels!O138, 1)</f>
        <v>-3.1</v>
      </c>
      <c r="G139" s="4">
        <f>ROUND(Levels!R138, 0)</f>
        <v>63</v>
      </c>
      <c r="H139" s="5">
        <f>ROUND(Levels!R138-Levels!N138, 1)</f>
        <v>-2.2000000000000002</v>
      </c>
      <c r="I139" s="5">
        <f>ROUND(Levels!R138-Levels!Q138, 1)</f>
        <v>-2.6</v>
      </c>
      <c r="J139" t="s">
        <v>237</v>
      </c>
    </row>
    <row r="140" spans="2:10" x14ac:dyDescent="0.25">
      <c r="B140" t="str">
        <f>Levels!B139</f>
        <v>The Green 39</v>
      </c>
      <c r="C140" s="4">
        <f>Levels!N139</f>
        <v>65.2</v>
      </c>
      <c r="D140" s="4">
        <f>ROUND(Levels!P139, 0)</f>
        <v>62</v>
      </c>
      <c r="E140" s="5">
        <f>ROUND(Levels!P139-Levels!N139, 1)</f>
        <v>-3</v>
      </c>
      <c r="F140" s="5">
        <f>ROUND(Levels!P139-Levels!O139, 1)</f>
        <v>-3.1</v>
      </c>
      <c r="G140" s="4">
        <f>ROUND(Levels!R139, 0)</f>
        <v>63</v>
      </c>
      <c r="H140" s="5">
        <f>ROUND(Levels!R139-Levels!N139, 1)</f>
        <v>-2.2000000000000002</v>
      </c>
      <c r="I140" s="5">
        <f>ROUND(Levels!R139-Levels!Q139, 1)</f>
        <v>-2.6</v>
      </c>
      <c r="J140" t="s">
        <v>237</v>
      </c>
    </row>
    <row r="141" spans="2:10" x14ac:dyDescent="0.25">
      <c r="B141" t="str">
        <f>Levels!B140</f>
        <v>The Green 37</v>
      </c>
      <c r="C141" s="4">
        <f>Levels!N140</f>
        <v>65.099999999999994</v>
      </c>
      <c r="D141" s="4">
        <f>ROUND(Levels!P140, 0)</f>
        <v>62</v>
      </c>
      <c r="E141" s="5">
        <f>ROUND(Levels!P140-Levels!N140, 1)</f>
        <v>-3.1</v>
      </c>
      <c r="F141" s="5">
        <f>ROUND(Levels!P140-Levels!O140, 1)</f>
        <v>-3.2</v>
      </c>
      <c r="G141" s="4">
        <f>ROUND(Levels!R140, 0)</f>
        <v>63</v>
      </c>
      <c r="H141" s="5">
        <f>ROUND(Levels!R140-Levels!N140, 1)</f>
        <v>-2.2999999999999998</v>
      </c>
      <c r="I141" s="5">
        <f>ROUND(Levels!R140-Levels!Q140, 1)</f>
        <v>-2.8</v>
      </c>
      <c r="J141" t="s">
        <v>237</v>
      </c>
    </row>
    <row r="142" spans="2:10" x14ac:dyDescent="0.25">
      <c r="B142" t="str">
        <f>Levels!B141</f>
        <v>The Green 35</v>
      </c>
      <c r="C142" s="4">
        <f>Levels!N141</f>
        <v>64.900000000000006</v>
      </c>
      <c r="D142" s="4">
        <f>ROUND(Levels!P141, 0)</f>
        <v>62</v>
      </c>
      <c r="E142" s="5">
        <f>ROUND(Levels!P141-Levels!N141, 1)</f>
        <v>-3.3</v>
      </c>
      <c r="F142" s="5">
        <f>ROUND(Levels!P141-Levels!O141, 1)</f>
        <v>-3.4</v>
      </c>
      <c r="G142" s="4">
        <f>ROUND(Levels!R141, 0)</f>
        <v>62</v>
      </c>
      <c r="H142" s="5">
        <f>ROUND(Levels!R141-Levels!N141, 1)</f>
        <v>-2.5</v>
      </c>
      <c r="I142" s="5">
        <f>ROUND(Levels!R141-Levels!Q141, 1)</f>
        <v>-3</v>
      </c>
      <c r="J142" t="s">
        <v>237</v>
      </c>
    </row>
    <row r="143" spans="2:10" x14ac:dyDescent="0.25">
      <c r="B143" t="str">
        <f>Levels!B142</f>
        <v>El Sub Sta 1</v>
      </c>
      <c r="C143" s="4">
        <f>Levels!N142</f>
        <v>62.1</v>
      </c>
      <c r="D143" s="4">
        <f>ROUND(Levels!P142, 0)</f>
        <v>62</v>
      </c>
      <c r="E143" s="5">
        <f>ROUND(Levels!P142-Levels!N142, 1)</f>
        <v>-0.2</v>
      </c>
      <c r="F143" s="5">
        <f>ROUND(Levels!P142-Levels!O142, 1)</f>
        <v>-0.3</v>
      </c>
      <c r="G143" s="4">
        <f>ROUND(Levels!R142, 0)</f>
        <v>63</v>
      </c>
      <c r="H143" s="5">
        <f>ROUND(Levels!R142-Levels!N142, 1)</f>
        <v>0.6</v>
      </c>
      <c r="I143" s="5">
        <f>ROUND(Levels!R142-Levels!Q142, 1)</f>
        <v>0</v>
      </c>
      <c r="J143" t="s">
        <v>237</v>
      </c>
    </row>
    <row r="144" spans="2:10" x14ac:dyDescent="0.25">
      <c r="B144" t="str">
        <f>Levels!B143</f>
        <v>El Sub Sta 2</v>
      </c>
      <c r="C144" s="4">
        <f>Levels!N143</f>
        <v>62.3</v>
      </c>
      <c r="D144" s="4">
        <f>ROUND(Levels!P143, 0)</f>
        <v>62</v>
      </c>
      <c r="E144" s="5">
        <f>ROUND(Levels!P143-Levels!N143, 1)</f>
        <v>-0.2</v>
      </c>
      <c r="F144" s="5">
        <f>ROUND(Levels!P143-Levels!O143, 1)</f>
        <v>-0.2</v>
      </c>
      <c r="G144" s="4">
        <f>ROUND(Levels!R143, 0)</f>
        <v>63</v>
      </c>
      <c r="H144" s="5">
        <f>ROUND(Levels!R143-Levels!N143, 1)</f>
        <v>0.6</v>
      </c>
      <c r="I144" s="5">
        <f>ROUND(Levels!R143-Levels!Q143, 1)</f>
        <v>0</v>
      </c>
      <c r="J144" t="s">
        <v>237</v>
      </c>
    </row>
    <row r="145" spans="2:10" x14ac:dyDescent="0.25">
      <c r="B145" t="str">
        <f>Levels!B144</f>
        <v>El Sub Sta 3</v>
      </c>
      <c r="C145" s="4">
        <f>Levels!N144</f>
        <v>62</v>
      </c>
      <c r="D145" s="4">
        <f>ROUND(Levels!P144, 0)</f>
        <v>62</v>
      </c>
      <c r="E145" s="5">
        <f>ROUND(Levels!P144-Levels!N144, 1)</f>
        <v>-0.1</v>
      </c>
      <c r="F145" s="5">
        <f>ROUND(Levels!P144-Levels!O144, 1)</f>
        <v>-0.2</v>
      </c>
      <c r="G145" s="4">
        <f>ROUND(Levels!R144, 0)</f>
        <v>63</v>
      </c>
      <c r="H145" s="5">
        <f>ROUND(Levels!R144-Levels!N144, 1)</f>
        <v>0.6</v>
      </c>
      <c r="I145" s="5">
        <f>ROUND(Levels!R144-Levels!Q144, 1)</f>
        <v>-0.1</v>
      </c>
      <c r="J145" t="s">
        <v>237</v>
      </c>
    </row>
    <row r="146" spans="2:10" x14ac:dyDescent="0.25">
      <c r="B146" t="str">
        <f>Levels!B145</f>
        <v>El Sub Sta 4</v>
      </c>
      <c r="C146" s="4">
        <f>Levels!N145</f>
        <v>62.3</v>
      </c>
      <c r="D146" s="4">
        <f>ROUND(Levels!P145, 0)</f>
        <v>62</v>
      </c>
      <c r="E146" s="5">
        <f>ROUND(Levels!P145-Levels!N145, 1)</f>
        <v>-0.2</v>
      </c>
      <c r="F146" s="5">
        <f>ROUND(Levels!P145-Levels!O145, 1)</f>
        <v>-0.2</v>
      </c>
      <c r="G146" s="4">
        <f>ROUND(Levels!R145, 0)</f>
        <v>63</v>
      </c>
      <c r="H146" s="5">
        <f>ROUND(Levels!R145-Levels!N145, 1)</f>
        <v>0.6</v>
      </c>
      <c r="I146" s="5">
        <f>ROUND(Levels!R145-Levels!Q145, 1)</f>
        <v>0</v>
      </c>
      <c r="J146" t="s">
        <v>237</v>
      </c>
    </row>
    <row r="147" spans="2:10" x14ac:dyDescent="0.25">
      <c r="B147" t="str">
        <f>Levels!B146</f>
        <v>El Sub Sta 5</v>
      </c>
      <c r="C147" s="4">
        <f>Levels!N146</f>
        <v>62.3</v>
      </c>
      <c r="D147" s="4">
        <f>ROUND(Levels!P146, 0)</f>
        <v>62</v>
      </c>
      <c r="E147" s="5">
        <f>ROUND(Levels!P146-Levels!N146, 1)</f>
        <v>-0.1</v>
      </c>
      <c r="F147" s="5">
        <f>ROUND(Levels!P146-Levels!O146, 1)</f>
        <v>-0.2</v>
      </c>
      <c r="G147" s="4">
        <f>ROUND(Levels!R146, 0)</f>
        <v>63</v>
      </c>
      <c r="H147" s="5">
        <f>ROUND(Levels!R146-Levels!N146, 1)</f>
        <v>0.6</v>
      </c>
      <c r="I147" s="5">
        <f>ROUND(Levels!R146-Levels!Q146, 1)</f>
        <v>0</v>
      </c>
      <c r="J147" t="s">
        <v>237</v>
      </c>
    </row>
    <row r="148" spans="2:10" x14ac:dyDescent="0.25">
      <c r="B148" t="str">
        <f>Levels!B147</f>
        <v>El Sub Sta 8</v>
      </c>
      <c r="C148" s="4">
        <f>Levels!N147</f>
        <v>59</v>
      </c>
      <c r="D148" s="4">
        <f>ROUND(Levels!P147, 0)</f>
        <v>59</v>
      </c>
      <c r="E148" s="5">
        <f>ROUND(Levels!P147-Levels!N147, 1)</f>
        <v>-0.3</v>
      </c>
      <c r="F148" s="5">
        <f>ROUND(Levels!P147-Levels!O147, 1)</f>
        <v>-0.3</v>
      </c>
      <c r="G148" s="4">
        <f>ROUND(Levels!R147, 0)</f>
        <v>60</v>
      </c>
      <c r="H148" s="5">
        <f>ROUND(Levels!R147-Levels!N147, 1)</f>
        <v>0.5</v>
      </c>
      <c r="I148" s="5">
        <f>ROUND(Levels!R147-Levels!Q147, 1)</f>
        <v>-0.1</v>
      </c>
      <c r="J148" t="s">
        <v>237</v>
      </c>
    </row>
    <row r="149" spans="2:10" x14ac:dyDescent="0.25">
      <c r="B149" t="str">
        <f>Levels!B148</f>
        <v>El Sub Sta 9</v>
      </c>
      <c r="C149" s="4">
        <f>Levels!N148</f>
        <v>58.9</v>
      </c>
      <c r="D149" s="4">
        <f>ROUND(Levels!P148, 0)</f>
        <v>59</v>
      </c>
      <c r="E149" s="5">
        <f>ROUND(Levels!P148-Levels!N148, 1)</f>
        <v>0</v>
      </c>
      <c r="F149" s="5">
        <f>ROUND(Levels!P148-Levels!O148, 1)</f>
        <v>-0.1</v>
      </c>
      <c r="G149" s="4">
        <f>ROUND(Levels!R148, 0)</f>
        <v>60</v>
      </c>
      <c r="H149" s="5">
        <f>ROUND(Levels!R148-Levels!N148, 1)</f>
        <v>0.7</v>
      </c>
      <c r="I149" s="5">
        <f>ROUND(Levels!R148-Levels!Q148, 1)</f>
        <v>0.1</v>
      </c>
      <c r="J149" t="s">
        <v>237</v>
      </c>
    </row>
    <row r="150" spans="2:10" x14ac:dyDescent="0.25">
      <c r="B150" t="str">
        <f>Levels!B149</f>
        <v>El Sub Sta 10</v>
      </c>
      <c r="C150" s="4">
        <f>Levels!N149</f>
        <v>58.6</v>
      </c>
      <c r="D150" s="4">
        <f>ROUND(Levels!P149, 0)</f>
        <v>59</v>
      </c>
      <c r="E150" s="5">
        <f>ROUND(Levels!P149-Levels!N149, 1)</f>
        <v>0</v>
      </c>
      <c r="F150" s="5">
        <f>ROUND(Levels!P149-Levels!O149, 1)</f>
        <v>-0.1</v>
      </c>
      <c r="G150" s="4">
        <f>ROUND(Levels!R149, 0)</f>
        <v>59</v>
      </c>
      <c r="H150" s="5">
        <f>ROUND(Levels!R149-Levels!N149, 1)</f>
        <v>0.8</v>
      </c>
      <c r="I150" s="5">
        <f>ROUND(Levels!R149-Levels!Q149, 1)</f>
        <v>0.2</v>
      </c>
      <c r="J150" t="s">
        <v>237</v>
      </c>
    </row>
    <row r="151" spans="2:10" x14ac:dyDescent="0.25">
      <c r="B151" t="str">
        <f>Levels!B150</f>
        <v>El Sub Sta 11</v>
      </c>
      <c r="C151" s="4">
        <f>Levels!N150</f>
        <v>58.2</v>
      </c>
      <c r="D151" s="4">
        <f>ROUND(Levels!P150, 0)</f>
        <v>58</v>
      </c>
      <c r="E151" s="5">
        <f>ROUND(Levels!P150-Levels!N150, 1)</f>
        <v>0.1</v>
      </c>
      <c r="F151" s="5">
        <f>ROUND(Levels!P150-Levels!O150, 1)</f>
        <v>0</v>
      </c>
      <c r="G151" s="4">
        <f>ROUND(Levels!R150, 0)</f>
        <v>59</v>
      </c>
      <c r="H151" s="5">
        <f>ROUND(Levels!R150-Levels!N150, 1)</f>
        <v>0.8</v>
      </c>
      <c r="I151" s="5">
        <f>ROUND(Levels!R150-Levels!Q150, 1)</f>
        <v>0.1</v>
      </c>
      <c r="J151" t="s">
        <v>237</v>
      </c>
    </row>
    <row r="152" spans="2:10" x14ac:dyDescent="0.25">
      <c r="B152" t="str">
        <f>Levels!B151</f>
        <v>Greenlea 2</v>
      </c>
      <c r="C152" s="4">
        <f>Levels!N151</f>
        <v>52.2</v>
      </c>
      <c r="D152" s="4">
        <f>ROUND(Levels!P151, 0)</f>
        <v>52</v>
      </c>
      <c r="E152" s="5">
        <f>ROUND(Levels!P151-Levels!N151, 1)</f>
        <v>-0.1</v>
      </c>
      <c r="F152" s="5">
        <f>ROUND(Levels!P151-Levels!O151, 1)</f>
        <v>-0.2</v>
      </c>
      <c r="G152" s="4">
        <f>ROUND(Levels!R151, 0)</f>
        <v>53</v>
      </c>
      <c r="H152" s="5">
        <f>ROUND(Levels!R151-Levels!N151, 1)</f>
        <v>0.7</v>
      </c>
      <c r="I152" s="5">
        <f>ROUND(Levels!R151-Levels!Q151, 1)</f>
        <v>0.1</v>
      </c>
      <c r="J152" t="s">
        <v>237</v>
      </c>
    </row>
    <row r="153" spans="2:10" x14ac:dyDescent="0.25">
      <c r="B153" t="str">
        <f>Levels!B152</f>
        <v>Greenlea 3</v>
      </c>
      <c r="C153" s="4">
        <f>Levels!N152</f>
        <v>52.3</v>
      </c>
      <c r="D153" s="4">
        <f>ROUND(Levels!P152, 0)</f>
        <v>52</v>
      </c>
      <c r="E153" s="5">
        <f>ROUND(Levels!P152-Levels!N152, 1)</f>
        <v>-0.1</v>
      </c>
      <c r="F153" s="5">
        <f>ROUND(Levels!P152-Levels!O152, 1)</f>
        <v>-0.2</v>
      </c>
      <c r="G153" s="4">
        <f>ROUND(Levels!R152, 0)</f>
        <v>53</v>
      </c>
      <c r="H153" s="5">
        <f>ROUND(Levels!R152-Levels!N152, 1)</f>
        <v>0.7</v>
      </c>
      <c r="I153" s="5">
        <f>ROUND(Levels!R152-Levels!Q152, 1)</f>
        <v>0</v>
      </c>
      <c r="J153" t="s">
        <v>237</v>
      </c>
    </row>
    <row r="154" spans="2:10" x14ac:dyDescent="0.25">
      <c r="B154" t="str">
        <f>Levels!B153</f>
        <v>Greenlea 6</v>
      </c>
      <c r="C154" s="4">
        <f>Levels!N153</f>
        <v>62.1</v>
      </c>
      <c r="D154" s="4">
        <f>ROUND(Levels!P153, 0)</f>
        <v>62</v>
      </c>
      <c r="E154" s="5">
        <f>ROUND(Levels!P153-Levels!N153, 1)</f>
        <v>-0.1</v>
      </c>
      <c r="F154" s="5">
        <f>ROUND(Levels!P153-Levels!O153, 1)</f>
        <v>-0.1</v>
      </c>
      <c r="G154" s="4">
        <f>ROUND(Levels!R153, 0)</f>
        <v>63</v>
      </c>
      <c r="H154" s="5">
        <f>ROUND(Levels!R153-Levels!N153, 1)</f>
        <v>0.7</v>
      </c>
      <c r="I154" s="5">
        <f>ROUND(Levels!R153-Levels!Q153, 1)</f>
        <v>0.1</v>
      </c>
      <c r="J154" t="s">
        <v>237</v>
      </c>
    </row>
    <row r="155" spans="2:10" x14ac:dyDescent="0.25">
      <c r="B155" t="str">
        <f>Levels!B154</f>
        <v>Greenlea 7</v>
      </c>
      <c r="C155" s="4">
        <f>Levels!N154</f>
        <v>52.4</v>
      </c>
      <c r="D155" s="4">
        <f>ROUND(Levels!P154, 0)</f>
        <v>53</v>
      </c>
      <c r="E155" s="5">
        <f>ROUND(Levels!P154-Levels!N154, 1)</f>
        <v>0.2</v>
      </c>
      <c r="F155" s="5">
        <f>ROUND(Levels!P154-Levels!O154, 1)</f>
        <v>0.1</v>
      </c>
      <c r="G155" s="4">
        <f>ROUND(Levels!R154, 0)</f>
        <v>53</v>
      </c>
      <c r="H155" s="5">
        <f>ROUND(Levels!R154-Levels!N154, 1)</f>
        <v>0.9</v>
      </c>
      <c r="I155" s="5">
        <f>ROUND(Levels!R154-Levels!Q154, 1)</f>
        <v>0.2</v>
      </c>
      <c r="J155" t="s">
        <v>237</v>
      </c>
    </row>
    <row r="156" spans="2:10" x14ac:dyDescent="0.25">
      <c r="B156" t="str">
        <f>Levels!B155</f>
        <v>Greenlea 8</v>
      </c>
      <c r="C156" s="4">
        <f>Levels!N155</f>
        <v>62</v>
      </c>
      <c r="D156" s="4">
        <f>ROUND(Levels!P155, 0)</f>
        <v>62</v>
      </c>
      <c r="E156" s="5">
        <f>ROUND(Levels!P155-Levels!N155, 1)</f>
        <v>0</v>
      </c>
      <c r="F156" s="5">
        <f>ROUND(Levels!P155-Levels!O155, 1)</f>
        <v>-0.1</v>
      </c>
      <c r="G156" s="4">
        <f>ROUND(Levels!R155, 0)</f>
        <v>63</v>
      </c>
      <c r="H156" s="5">
        <f>ROUND(Levels!R155-Levels!N155, 1)</f>
        <v>0.8</v>
      </c>
      <c r="I156" s="5">
        <f>ROUND(Levels!R155-Levels!Q155, 1)</f>
        <v>0.1</v>
      </c>
      <c r="J156" t="s">
        <v>237</v>
      </c>
    </row>
    <row r="157" spans="2:10" x14ac:dyDescent="0.25">
      <c r="B157" t="str">
        <f>Levels!B156</f>
        <v>Greenlea 9</v>
      </c>
      <c r="C157" s="4">
        <f>Levels!N156</f>
        <v>61.7</v>
      </c>
      <c r="D157" s="4">
        <f>ROUND(Levels!P156, 0)</f>
        <v>62</v>
      </c>
      <c r="E157" s="5">
        <f>ROUND(Levels!P156-Levels!N156, 1)</f>
        <v>0</v>
      </c>
      <c r="F157" s="5">
        <f>ROUND(Levels!P156-Levels!O156, 1)</f>
        <v>-0.1</v>
      </c>
      <c r="G157" s="4">
        <f>ROUND(Levels!R156, 0)</f>
        <v>62</v>
      </c>
      <c r="H157" s="5">
        <f>ROUND(Levels!R156-Levels!N156, 1)</f>
        <v>0.7</v>
      </c>
      <c r="I157" s="5">
        <f>ROUND(Levels!R156-Levels!Q156, 1)</f>
        <v>0</v>
      </c>
      <c r="J157" t="s">
        <v>237</v>
      </c>
    </row>
    <row r="158" spans="2:10" x14ac:dyDescent="0.25">
      <c r="B158" t="str">
        <f>Levels!B157</f>
        <v>Greenlea 10</v>
      </c>
      <c r="C158" s="4">
        <f>Levels!N157</f>
        <v>61.5</v>
      </c>
      <c r="D158" s="4">
        <f>ROUND(Levels!P157, 0)</f>
        <v>61</v>
      </c>
      <c r="E158" s="5">
        <f>ROUND(Levels!P157-Levels!N157, 1)</f>
        <v>-0.1</v>
      </c>
      <c r="F158" s="5">
        <f>ROUND(Levels!P157-Levels!O157, 1)</f>
        <v>-0.1</v>
      </c>
      <c r="G158" s="4">
        <f>ROUND(Levels!R157, 0)</f>
        <v>62</v>
      </c>
      <c r="H158" s="5">
        <f>ROUND(Levels!R157-Levels!N157, 1)</f>
        <v>0.7</v>
      </c>
      <c r="I158" s="5">
        <f>ROUND(Levels!R157-Levels!Q157, 1)</f>
        <v>0.1</v>
      </c>
      <c r="J158" t="s">
        <v>237</v>
      </c>
    </row>
    <row r="159" spans="2:10" x14ac:dyDescent="0.25">
      <c r="B159" t="str">
        <f>Levels!B158</f>
        <v>The Paddock 5</v>
      </c>
      <c r="C159" s="4">
        <f>Levels!N158</f>
        <v>59.6</v>
      </c>
      <c r="D159" s="4">
        <f>ROUND(Levels!P158, 0)</f>
        <v>60</v>
      </c>
      <c r="E159" s="5">
        <f>ROUND(Levels!P158-Levels!N158, 1)</f>
        <v>0</v>
      </c>
      <c r="F159" s="5">
        <f>ROUND(Levels!P158-Levels!O158, 1)</f>
        <v>-0.1</v>
      </c>
      <c r="G159" s="4">
        <f>ROUND(Levels!R158, 0)</f>
        <v>60</v>
      </c>
      <c r="H159" s="5">
        <f>ROUND(Levels!R158-Levels!N158, 1)</f>
        <v>0.8</v>
      </c>
      <c r="I159" s="5">
        <f>ROUND(Levels!R158-Levels!Q158, 1)</f>
        <v>0.1</v>
      </c>
      <c r="J159" t="s">
        <v>237</v>
      </c>
    </row>
    <row r="160" spans="2:10" x14ac:dyDescent="0.25">
      <c r="B160" t="str">
        <f>Levels!B159</f>
        <v>The Paddock 6</v>
      </c>
      <c r="C160" s="4">
        <f>Levels!N159</f>
        <v>60.3</v>
      </c>
      <c r="D160" s="4">
        <f>ROUND(Levels!P159, 0)</f>
        <v>60</v>
      </c>
      <c r="E160" s="5">
        <f>ROUND(Levels!P159-Levels!N159, 1)</f>
        <v>0</v>
      </c>
      <c r="F160" s="5">
        <f>ROUND(Levels!P159-Levels!O159, 1)</f>
        <v>-0.1</v>
      </c>
      <c r="G160" s="4">
        <f>ROUND(Levels!R159, 0)</f>
        <v>61</v>
      </c>
      <c r="H160" s="5">
        <f>ROUND(Levels!R159-Levels!N159, 1)</f>
        <v>0.8</v>
      </c>
      <c r="I160" s="5">
        <f>ROUND(Levels!R159-Levels!Q159, 1)</f>
        <v>0.1</v>
      </c>
      <c r="J160" t="s">
        <v>237</v>
      </c>
    </row>
    <row r="161" spans="2:10" x14ac:dyDescent="0.25">
      <c r="B161" t="str">
        <f>Levels!B160</f>
        <v>The Paddock 7</v>
      </c>
      <c r="C161" s="4">
        <f>Levels!N160</f>
        <v>60.7</v>
      </c>
      <c r="D161" s="4">
        <f>ROUND(Levels!P160, 0)</f>
        <v>61</v>
      </c>
      <c r="E161" s="5">
        <f>ROUND(Levels!P160-Levels!N160, 1)</f>
        <v>0.1</v>
      </c>
      <c r="F161" s="5">
        <f>ROUND(Levels!P160-Levels!O160, 1)</f>
        <v>0</v>
      </c>
      <c r="G161" s="4">
        <f>ROUND(Levels!R160, 0)</f>
        <v>62</v>
      </c>
      <c r="H161" s="5">
        <f>ROUND(Levels!R160-Levels!N160, 1)</f>
        <v>0.8</v>
      </c>
      <c r="I161" s="5">
        <f>ROUND(Levels!R160-Levels!Q160, 1)</f>
        <v>0.1</v>
      </c>
      <c r="J161" t="s">
        <v>237</v>
      </c>
    </row>
    <row r="162" spans="2:10" x14ac:dyDescent="0.25">
      <c r="B162" t="str">
        <f>Levels!B161</f>
        <v>The Paddock 8</v>
      </c>
      <c r="C162" s="4">
        <f>Levels!N161</f>
        <v>61.1</v>
      </c>
      <c r="D162" s="4">
        <f>ROUND(Levels!P161, 0)</f>
        <v>61</v>
      </c>
      <c r="E162" s="5">
        <f>ROUND(Levels!P161-Levels!N161, 1)</f>
        <v>0</v>
      </c>
      <c r="F162" s="5">
        <f>ROUND(Levels!P161-Levels!O161, 1)</f>
        <v>-0.1</v>
      </c>
      <c r="G162" s="4">
        <f>ROUND(Levels!R161, 0)</f>
        <v>62</v>
      </c>
      <c r="H162" s="5">
        <f>ROUND(Levels!R161-Levels!N161, 1)</f>
        <v>0.8</v>
      </c>
      <c r="I162" s="5">
        <f>ROUND(Levels!R161-Levels!Q161, 1)</f>
        <v>0.2</v>
      </c>
      <c r="J162" t="s">
        <v>237</v>
      </c>
    </row>
    <row r="163" spans="2:10" x14ac:dyDescent="0.25">
      <c r="B163" t="str">
        <f>Levels!B162</f>
        <v>Martindale Close 2</v>
      </c>
      <c r="C163" s="4">
        <f>Levels!N162</f>
        <v>59.1</v>
      </c>
      <c r="D163" s="4">
        <f>ROUND(Levels!P162, 0)</f>
        <v>59</v>
      </c>
      <c r="E163" s="5">
        <f>ROUND(Levels!P162-Levels!N162, 1)</f>
        <v>-0.1</v>
      </c>
      <c r="F163" s="5">
        <f>ROUND(Levels!P162-Levels!O162, 1)</f>
        <v>-0.2</v>
      </c>
      <c r="G163" s="4">
        <f>ROUND(Levels!R162, 0)</f>
        <v>60</v>
      </c>
      <c r="H163" s="5">
        <f>ROUND(Levels!R162-Levels!N162, 1)</f>
        <v>0.7</v>
      </c>
      <c r="I163" s="5">
        <f>ROUND(Levels!R162-Levels!Q162, 1)</f>
        <v>0</v>
      </c>
      <c r="J163" t="s">
        <v>237</v>
      </c>
    </row>
    <row r="164" spans="2:10" x14ac:dyDescent="0.25">
      <c r="B164" t="str">
        <f>Levels!B163</f>
        <v>Martindale Close 3</v>
      </c>
      <c r="C164" s="4">
        <f>Levels!N163</f>
        <v>59</v>
      </c>
      <c r="D164" s="4">
        <f>ROUND(Levels!P163, 0)</f>
        <v>59</v>
      </c>
      <c r="E164" s="5">
        <f>ROUND(Levels!P163-Levels!N163, 1)</f>
        <v>-0.1</v>
      </c>
      <c r="F164" s="5">
        <f>ROUND(Levels!P163-Levels!O163, 1)</f>
        <v>-0.2</v>
      </c>
      <c r="G164" s="4">
        <f>ROUND(Levels!R163, 0)</f>
        <v>60</v>
      </c>
      <c r="H164" s="5">
        <f>ROUND(Levels!R163-Levels!N163, 1)</f>
        <v>0.7</v>
      </c>
      <c r="I164" s="5">
        <f>ROUND(Levels!R163-Levels!Q163, 1)</f>
        <v>0</v>
      </c>
      <c r="J164" t="s">
        <v>237</v>
      </c>
    </row>
    <row r="165" spans="2:10" x14ac:dyDescent="0.25">
      <c r="B165" t="str">
        <f>Levels!B164</f>
        <v>Martindale Close 6</v>
      </c>
      <c r="C165" s="4">
        <f>Levels!N164</f>
        <v>60.5</v>
      </c>
      <c r="D165" s="4">
        <f>ROUND(Levels!P164, 0)</f>
        <v>61</v>
      </c>
      <c r="E165" s="5">
        <f>ROUND(Levels!P164-Levels!N164, 1)</f>
        <v>0.2</v>
      </c>
      <c r="F165" s="5">
        <f>ROUND(Levels!P164-Levels!O164, 1)</f>
        <v>0.1</v>
      </c>
      <c r="G165" s="4">
        <f>ROUND(Levels!R164, 0)</f>
        <v>61</v>
      </c>
      <c r="H165" s="5">
        <f>ROUND(Levels!R164-Levels!N164, 1)</f>
        <v>0.9</v>
      </c>
      <c r="I165" s="5">
        <f>ROUND(Levels!R164-Levels!Q164, 1)</f>
        <v>0.3</v>
      </c>
      <c r="J165" t="s">
        <v>237</v>
      </c>
    </row>
    <row r="166" spans="2:10" x14ac:dyDescent="0.25">
      <c r="B166" t="str">
        <f>Levels!B165</f>
        <v>Martindale Close 7</v>
      </c>
      <c r="C166" s="4">
        <f>Levels!N165</f>
        <v>60.3</v>
      </c>
      <c r="D166" s="4">
        <f>ROUND(Levels!P165, 0)</f>
        <v>61</v>
      </c>
      <c r="E166" s="5">
        <f>ROUND(Levels!P165-Levels!N165, 1)</f>
        <v>0.2</v>
      </c>
      <c r="F166" s="5">
        <f>ROUND(Levels!P165-Levels!O165, 1)</f>
        <v>0.1</v>
      </c>
      <c r="G166" s="4">
        <f>ROUND(Levels!R165, 0)</f>
        <v>61</v>
      </c>
      <c r="H166" s="5">
        <f>ROUND(Levels!R165-Levels!N165, 1)</f>
        <v>0.9</v>
      </c>
      <c r="I166" s="5">
        <f>ROUND(Levels!R165-Levels!Q165, 1)</f>
        <v>0.3</v>
      </c>
      <c r="J166" t="s">
        <v>237</v>
      </c>
    </row>
    <row r="167" spans="2:10" x14ac:dyDescent="0.25">
      <c r="B167" t="str">
        <f>Levels!B166</f>
        <v>Manor Close 1</v>
      </c>
      <c r="C167" s="4">
        <f>Levels!N166</f>
        <v>58</v>
      </c>
      <c r="D167" s="4">
        <f>ROUND(Levels!P166, 0)</f>
        <v>58</v>
      </c>
      <c r="E167" s="5">
        <f>ROUND(Levels!P166-Levels!N166, 1)</f>
        <v>0</v>
      </c>
      <c r="F167" s="5">
        <f>ROUND(Levels!P166-Levels!O166, 1)</f>
        <v>0</v>
      </c>
      <c r="G167" s="4">
        <f>ROUND(Levels!R166, 0)</f>
        <v>59</v>
      </c>
      <c r="H167" s="5">
        <f>ROUND(Levels!R166-Levels!N166, 1)</f>
        <v>0.8</v>
      </c>
      <c r="I167" s="5">
        <f>ROUND(Levels!R166-Levels!Q166, 1)</f>
        <v>0.2</v>
      </c>
      <c r="J167" t="s">
        <v>237</v>
      </c>
    </row>
    <row r="168" spans="2:10" x14ac:dyDescent="0.25">
      <c r="B168" t="str">
        <f>Levels!B167</f>
        <v>Manor Close 2</v>
      </c>
      <c r="C168" s="4">
        <f>Levels!N167</f>
        <v>58.6</v>
      </c>
      <c r="D168" s="4">
        <f>ROUND(Levels!P167, 0)</f>
        <v>59</v>
      </c>
      <c r="E168" s="5">
        <f>ROUND(Levels!P167-Levels!N167, 1)</f>
        <v>0</v>
      </c>
      <c r="F168" s="5">
        <f>ROUND(Levels!P167-Levels!O167, 1)</f>
        <v>0</v>
      </c>
      <c r="G168" s="4">
        <f>ROUND(Levels!R167, 0)</f>
        <v>59</v>
      </c>
      <c r="H168" s="5">
        <f>ROUND(Levels!R167-Levels!N167, 1)</f>
        <v>0.8</v>
      </c>
      <c r="I168" s="5">
        <f>ROUND(Levels!R167-Levels!Q167, 1)</f>
        <v>0.2</v>
      </c>
      <c r="J168" t="s">
        <v>237</v>
      </c>
    </row>
    <row r="169" spans="2:10" x14ac:dyDescent="0.25">
      <c r="B169" t="str">
        <f>Levels!B168</f>
        <v>Manor Close 3</v>
      </c>
      <c r="C169" s="4">
        <f>Levels!N168</f>
        <v>59</v>
      </c>
      <c r="D169" s="4">
        <f>ROUND(Levels!P168, 0)</f>
        <v>59</v>
      </c>
      <c r="E169" s="5">
        <f>ROUND(Levels!P168-Levels!N168, 1)</f>
        <v>0</v>
      </c>
      <c r="F169" s="5">
        <f>ROUND(Levels!P168-Levels!O168, 1)</f>
        <v>-0.1</v>
      </c>
      <c r="G169" s="4">
        <f>ROUND(Levels!R168, 0)</f>
        <v>60</v>
      </c>
      <c r="H169" s="5">
        <f>ROUND(Levels!R168-Levels!N168, 1)</f>
        <v>0.8</v>
      </c>
      <c r="I169" s="5">
        <f>ROUND(Levels!R168-Levels!Q168, 1)</f>
        <v>0.2</v>
      </c>
      <c r="J169" t="s">
        <v>237</v>
      </c>
    </row>
    <row r="170" spans="2:10" x14ac:dyDescent="0.25">
      <c r="B170" t="str">
        <f>Levels!B169</f>
        <v>Manor Close 4</v>
      </c>
      <c r="C170" s="4">
        <f>Levels!N169</f>
        <v>57.5</v>
      </c>
      <c r="D170" s="4">
        <f>ROUND(Levels!P169, 0)</f>
        <v>58</v>
      </c>
      <c r="E170" s="5">
        <f>ROUND(Levels!P169-Levels!N169, 1)</f>
        <v>0.1</v>
      </c>
      <c r="F170" s="5">
        <f>ROUND(Levels!P169-Levels!O169, 1)</f>
        <v>0</v>
      </c>
      <c r="G170" s="4">
        <f>ROUND(Levels!R169, 0)</f>
        <v>58</v>
      </c>
      <c r="H170" s="5">
        <f>ROUND(Levels!R169-Levels!N169, 1)</f>
        <v>0.8</v>
      </c>
      <c r="I170" s="5">
        <f>ROUND(Levels!R169-Levels!Q169, 1)</f>
        <v>0.1</v>
      </c>
      <c r="J170" t="s">
        <v>237</v>
      </c>
    </row>
    <row r="171" spans="2:10" x14ac:dyDescent="0.25">
      <c r="B171" t="str">
        <f>Levels!B170</f>
        <v>Manor Close 5</v>
      </c>
      <c r="C171" s="4">
        <f>Levels!N170</f>
        <v>51.3</v>
      </c>
      <c r="D171" s="4">
        <f>ROUND(Levels!P170, 0)</f>
        <v>51</v>
      </c>
      <c r="E171" s="5">
        <f>ROUND(Levels!P170-Levels!N170, 1)</f>
        <v>-0.8</v>
      </c>
      <c r="F171" s="5">
        <f>ROUND(Levels!P170-Levels!O170, 1)</f>
        <v>-0.9</v>
      </c>
      <c r="G171" s="4">
        <f>ROUND(Levels!R170, 0)</f>
        <v>51</v>
      </c>
      <c r="H171" s="5">
        <f>ROUND(Levels!R170-Levels!N170, 1)</f>
        <v>0</v>
      </c>
      <c r="I171" s="5">
        <f>ROUND(Levels!R170-Levels!Q170, 1)</f>
        <v>-0.8</v>
      </c>
      <c r="J171" t="s">
        <v>237</v>
      </c>
    </row>
    <row r="172" spans="2:10" x14ac:dyDescent="0.25">
      <c r="B172" t="str">
        <f>Levels!B171</f>
        <v>Manor Close 6</v>
      </c>
      <c r="C172" s="4">
        <f>Levels!N171</f>
        <v>51</v>
      </c>
      <c r="D172" s="4">
        <f>ROUND(Levels!P171, 0)</f>
        <v>50</v>
      </c>
      <c r="E172" s="5">
        <f>ROUND(Levels!P171-Levels!N171, 1)</f>
        <v>-0.9</v>
      </c>
      <c r="F172" s="5">
        <f>ROUND(Levels!P171-Levels!O171, 1)</f>
        <v>-0.9</v>
      </c>
      <c r="G172" s="4">
        <f>ROUND(Levels!R171, 0)</f>
        <v>51</v>
      </c>
      <c r="H172" s="5">
        <f>ROUND(Levels!R171-Levels!N171, 1)</f>
        <v>0</v>
      </c>
      <c r="I172" s="5">
        <f>ROUND(Levels!R171-Levels!Q171, 1)</f>
        <v>-0.8</v>
      </c>
      <c r="J172" t="s">
        <v>237</v>
      </c>
    </row>
    <row r="173" spans="2:10" x14ac:dyDescent="0.25">
      <c r="B173" t="str">
        <f>Levels!B172</f>
        <v>Manor Close 8</v>
      </c>
      <c r="C173" s="4">
        <f>Levels!N172</f>
        <v>50.3</v>
      </c>
      <c r="D173" s="4">
        <f>ROUND(Levels!P172, 0)</f>
        <v>49</v>
      </c>
      <c r="E173" s="5">
        <f>ROUND(Levels!P172-Levels!N172, 1)</f>
        <v>-0.9</v>
      </c>
      <c r="F173" s="5">
        <f>ROUND(Levels!P172-Levels!O172, 1)</f>
        <v>-1</v>
      </c>
      <c r="G173" s="4">
        <f>ROUND(Levels!R172, 0)</f>
        <v>50</v>
      </c>
      <c r="H173" s="5">
        <f>ROUND(Levels!R172-Levels!N172, 1)</f>
        <v>0</v>
      </c>
      <c r="I173" s="5">
        <f>ROUND(Levels!R172-Levels!Q172, 1)</f>
        <v>-0.8</v>
      </c>
      <c r="J173" t="s">
        <v>237</v>
      </c>
    </row>
    <row r="174" spans="2:10" x14ac:dyDescent="0.25">
      <c r="B174" t="str">
        <f>Levels!B173</f>
        <v>Manor Close 9</v>
      </c>
      <c r="C174" s="4">
        <f>Levels!N173</f>
        <v>51.4</v>
      </c>
      <c r="D174" s="4">
        <f>ROUND(Levels!P173, 0)</f>
        <v>51</v>
      </c>
      <c r="E174" s="5">
        <f>ROUND(Levels!P173-Levels!N173, 1)</f>
        <v>-0.9</v>
      </c>
      <c r="F174" s="5">
        <f>ROUND(Levels!P173-Levels!O173, 1)</f>
        <v>-0.9</v>
      </c>
      <c r="G174" s="4">
        <f>ROUND(Levels!R173, 0)</f>
        <v>51</v>
      </c>
      <c r="H174" s="5">
        <f>ROUND(Levels!R173-Levels!N173, 1)</f>
        <v>-0.1</v>
      </c>
      <c r="I174" s="5">
        <f>ROUND(Levels!R173-Levels!Q173, 1)</f>
        <v>-0.9</v>
      </c>
      <c r="J174" t="s">
        <v>237</v>
      </c>
    </row>
    <row r="175" spans="2:10" x14ac:dyDescent="0.25">
      <c r="B175" t="str">
        <f>Levels!B174</f>
        <v>Manor Close 10</v>
      </c>
      <c r="C175" s="4">
        <f>Levels!N174</f>
        <v>51.1</v>
      </c>
      <c r="D175" s="4">
        <f>ROUND(Levels!P174, 0)</f>
        <v>50</v>
      </c>
      <c r="E175" s="5">
        <f>ROUND(Levels!P174-Levels!N174, 1)</f>
        <v>-1</v>
      </c>
      <c r="F175" s="5">
        <f>ROUND(Levels!P174-Levels!O174, 1)</f>
        <v>-1.1000000000000001</v>
      </c>
      <c r="G175" s="4">
        <f>ROUND(Levels!R174, 0)</f>
        <v>51</v>
      </c>
      <c r="H175" s="5">
        <f>ROUND(Levels!R174-Levels!N174, 1)</f>
        <v>-0.2</v>
      </c>
      <c r="I175" s="5">
        <f>ROUND(Levels!R174-Levels!Q174, 1)</f>
        <v>-1</v>
      </c>
      <c r="J175" t="s">
        <v>237</v>
      </c>
    </row>
    <row r="176" spans="2:10" x14ac:dyDescent="0.25">
      <c r="B176" t="str">
        <f>Levels!B175</f>
        <v>Manor Close 11</v>
      </c>
      <c r="C176" s="4">
        <f>Levels!N175</f>
        <v>60.2</v>
      </c>
      <c r="D176" s="4">
        <f>ROUND(Levels!P175, 0)</f>
        <v>60</v>
      </c>
      <c r="E176" s="5">
        <f>ROUND(Levels!P175-Levels!N175, 1)</f>
        <v>-0.2</v>
      </c>
      <c r="F176" s="5">
        <f>ROUND(Levels!P175-Levels!O175, 1)</f>
        <v>-0.3</v>
      </c>
      <c r="G176" s="4">
        <f>ROUND(Levels!R175, 0)</f>
        <v>61</v>
      </c>
      <c r="H176" s="5">
        <f>ROUND(Levels!R175-Levels!N175, 1)</f>
        <v>0.6</v>
      </c>
      <c r="I176" s="5">
        <f>ROUND(Levels!R175-Levels!Q175, 1)</f>
        <v>0</v>
      </c>
      <c r="J176" t="s">
        <v>237</v>
      </c>
    </row>
    <row r="177" spans="2:10" x14ac:dyDescent="0.25">
      <c r="B177" t="str">
        <f>Levels!B176</f>
        <v>Manor Close 12</v>
      </c>
      <c r="C177" s="4">
        <f>Levels!N176</f>
        <v>60.5</v>
      </c>
      <c r="D177" s="4">
        <f>ROUND(Levels!P176, 0)</f>
        <v>60</v>
      </c>
      <c r="E177" s="5">
        <f>ROUND(Levels!P176-Levels!N176, 1)</f>
        <v>-0.2</v>
      </c>
      <c r="F177" s="5">
        <f>ROUND(Levels!P176-Levels!O176, 1)</f>
        <v>-0.3</v>
      </c>
      <c r="G177" s="4">
        <f>ROUND(Levels!R176, 0)</f>
        <v>61</v>
      </c>
      <c r="H177" s="5">
        <f>ROUND(Levels!R176-Levels!N176, 1)</f>
        <v>0.5</v>
      </c>
      <c r="I177" s="5">
        <f>ROUND(Levels!R176-Levels!Q176, 1)</f>
        <v>-0.1</v>
      </c>
      <c r="J177" t="s">
        <v>237</v>
      </c>
    </row>
    <row r="178" spans="2:10" x14ac:dyDescent="0.25">
      <c r="B178" t="str">
        <f>Levels!B177</f>
        <v>Manor Close 15</v>
      </c>
      <c r="C178" s="4">
        <f>Levels!N177</f>
        <v>60.9</v>
      </c>
      <c r="D178" s="4">
        <f>ROUND(Levels!P177, 0)</f>
        <v>61</v>
      </c>
      <c r="E178" s="5">
        <f>ROUND(Levels!P177-Levels!N177, 1)</f>
        <v>-0.2</v>
      </c>
      <c r="F178" s="5">
        <f>ROUND(Levels!P177-Levels!O177, 1)</f>
        <v>-0.3</v>
      </c>
      <c r="G178" s="4">
        <f>ROUND(Levels!R177, 0)</f>
        <v>62</v>
      </c>
      <c r="H178" s="5">
        <f>ROUND(Levels!R177-Levels!N177, 1)</f>
        <v>0.6</v>
      </c>
      <c r="I178" s="5">
        <f>ROUND(Levels!R177-Levels!Q177, 1)</f>
        <v>0</v>
      </c>
      <c r="J178" t="s">
        <v>237</v>
      </c>
    </row>
    <row r="179" spans="2:10" x14ac:dyDescent="0.25">
      <c r="B179" t="str">
        <f>Levels!B178</f>
        <v>Manor Close 16</v>
      </c>
      <c r="C179" s="4">
        <f>Levels!N178</f>
        <v>59.9</v>
      </c>
      <c r="D179" s="4">
        <f>ROUND(Levels!P178, 0)</f>
        <v>60</v>
      </c>
      <c r="E179" s="5">
        <f>ROUND(Levels!P178-Levels!N178, 1)</f>
        <v>-0.2</v>
      </c>
      <c r="F179" s="5">
        <f>ROUND(Levels!P178-Levels!O178, 1)</f>
        <v>-0.3</v>
      </c>
      <c r="G179" s="4">
        <f>ROUND(Levels!R178, 0)</f>
        <v>60</v>
      </c>
      <c r="H179" s="5">
        <f>ROUND(Levels!R178-Levels!N178, 1)</f>
        <v>0.5</v>
      </c>
      <c r="I179" s="5">
        <f>ROUND(Levels!R178-Levels!Q178, 1)</f>
        <v>0</v>
      </c>
      <c r="J179" t="s">
        <v>237</v>
      </c>
    </row>
    <row r="180" spans="2:10" x14ac:dyDescent="0.25">
      <c r="B180" t="str">
        <f>Levels!B179</f>
        <v>Manor Close 17</v>
      </c>
      <c r="C180" s="4">
        <f>Levels!N179</f>
        <v>62.6</v>
      </c>
      <c r="D180" s="4">
        <f>ROUND(Levels!P179, 0)</f>
        <v>62</v>
      </c>
      <c r="E180" s="5">
        <f>ROUND(Levels!P179-Levels!N179, 1)</f>
        <v>-0.6</v>
      </c>
      <c r="F180" s="5">
        <f>ROUND(Levels!P179-Levels!O179, 1)</f>
        <v>-0.7</v>
      </c>
      <c r="G180" s="4">
        <f>ROUND(Levels!R179, 0)</f>
        <v>63</v>
      </c>
      <c r="H180" s="5">
        <f>ROUND(Levels!R179-Levels!N179, 1)</f>
        <v>0.1</v>
      </c>
      <c r="I180" s="5">
        <f>ROUND(Levels!R179-Levels!Q179, 1)</f>
        <v>-0.3</v>
      </c>
      <c r="J180" t="s">
        <v>237</v>
      </c>
    </row>
    <row r="181" spans="2:10" x14ac:dyDescent="0.25">
      <c r="B181" t="str">
        <f>Levels!B180</f>
        <v>Hillcrest Grove 3</v>
      </c>
      <c r="C181" s="4">
        <f>Levels!N180</f>
        <v>64.2</v>
      </c>
      <c r="D181" s="4">
        <f>ROUND(Levels!P180, 0)</f>
        <v>64</v>
      </c>
      <c r="E181" s="5">
        <f>ROUND(Levels!P180-Levels!N180, 1)</f>
        <v>0.1</v>
      </c>
      <c r="F181" s="5">
        <f>ROUND(Levels!P180-Levels!O180, 1)</f>
        <v>0</v>
      </c>
      <c r="G181" s="4">
        <f>ROUND(Levels!R180, 0)</f>
        <v>65</v>
      </c>
      <c r="H181" s="5">
        <f>ROUND(Levels!R180-Levels!N180, 1)</f>
        <v>0.9</v>
      </c>
      <c r="I181" s="5">
        <f>ROUND(Levels!R180-Levels!Q180, 1)</f>
        <v>0.3</v>
      </c>
      <c r="J181" t="s">
        <v>237</v>
      </c>
    </row>
    <row r="182" spans="2:10" x14ac:dyDescent="0.25">
      <c r="B182" t="str">
        <f>Levels!B181</f>
        <v>Hillcrest Grove 5</v>
      </c>
      <c r="C182" s="4">
        <f>Levels!N181</f>
        <v>64.5</v>
      </c>
      <c r="D182" s="4">
        <f>ROUND(Levels!P181, 0)</f>
        <v>65</v>
      </c>
      <c r="E182" s="5">
        <f>ROUND(Levels!P181-Levels!N181, 1)</f>
        <v>0.1</v>
      </c>
      <c r="F182" s="5">
        <f>ROUND(Levels!P181-Levels!O181, 1)</f>
        <v>0.1</v>
      </c>
      <c r="G182" s="4">
        <f>ROUND(Levels!R181, 0)</f>
        <v>65</v>
      </c>
      <c r="H182" s="5">
        <f>ROUND(Levels!R181-Levels!N181, 1)</f>
        <v>0.9</v>
      </c>
      <c r="I182" s="5">
        <f>ROUND(Levels!R181-Levels!Q181, 1)</f>
        <v>0.3</v>
      </c>
      <c r="J182" t="s">
        <v>237</v>
      </c>
    </row>
    <row r="183" spans="2:10" x14ac:dyDescent="0.25">
      <c r="B183" t="str">
        <f>Levels!B182</f>
        <v>Hillcrest Grove 7</v>
      </c>
      <c r="C183" s="4">
        <f>Levels!N182</f>
        <v>64</v>
      </c>
      <c r="D183" s="4">
        <f>ROUND(Levels!P182, 0)</f>
        <v>64</v>
      </c>
      <c r="E183" s="5">
        <f>ROUND(Levels!P182-Levels!N182, 1)</f>
        <v>0</v>
      </c>
      <c r="F183" s="5">
        <f>ROUND(Levels!P182-Levels!O182, 1)</f>
        <v>-0.1</v>
      </c>
      <c r="G183" s="4">
        <f>ROUND(Levels!R182, 0)</f>
        <v>65</v>
      </c>
      <c r="H183" s="5">
        <f>ROUND(Levels!R182-Levels!N182, 1)</f>
        <v>0.8</v>
      </c>
      <c r="I183" s="5">
        <f>ROUND(Levels!R182-Levels!Q182, 1)</f>
        <v>0.2</v>
      </c>
      <c r="J183" t="s">
        <v>237</v>
      </c>
    </row>
    <row r="184" spans="2:10" x14ac:dyDescent="0.25">
      <c r="B184" t="str">
        <f>Levels!B183</f>
        <v>Hillcrest Grove 9</v>
      </c>
      <c r="C184" s="4">
        <f>Levels!N183</f>
        <v>64.2</v>
      </c>
      <c r="D184" s="4">
        <f>ROUND(Levels!P183, 0)</f>
        <v>64</v>
      </c>
      <c r="E184" s="5">
        <f>ROUND(Levels!P183-Levels!N183, 1)</f>
        <v>0</v>
      </c>
      <c r="F184" s="5">
        <f>ROUND(Levels!P183-Levels!O183, 1)</f>
        <v>-0.1</v>
      </c>
      <c r="G184" s="4">
        <f>ROUND(Levels!R183, 0)</f>
        <v>65</v>
      </c>
      <c r="H184" s="5">
        <f>ROUND(Levels!R183-Levels!N183, 1)</f>
        <v>0.8</v>
      </c>
      <c r="I184" s="5">
        <f>ROUND(Levels!R183-Levels!Q183, 1)</f>
        <v>0.2</v>
      </c>
      <c r="J184" t="s">
        <v>237</v>
      </c>
    </row>
    <row r="185" spans="2:10" x14ac:dyDescent="0.25">
      <c r="B185" t="str">
        <f>Levels!B184</f>
        <v>Hillcrest Grove 11</v>
      </c>
      <c r="C185" s="4">
        <f>Levels!N184</f>
        <v>64.2</v>
      </c>
      <c r="D185" s="4">
        <f>ROUND(Levels!P184, 0)</f>
        <v>64</v>
      </c>
      <c r="E185" s="5">
        <f>ROUND(Levels!P184-Levels!N184, 1)</f>
        <v>0</v>
      </c>
      <c r="F185" s="5">
        <f>ROUND(Levels!P184-Levels!O184, 1)</f>
        <v>-0.1</v>
      </c>
      <c r="G185" s="4">
        <f>ROUND(Levels!R184, 0)</f>
        <v>65</v>
      </c>
      <c r="H185" s="5">
        <f>ROUND(Levels!R184-Levels!N184, 1)</f>
        <v>0.8</v>
      </c>
      <c r="I185" s="5">
        <f>ROUND(Levels!R184-Levels!Q184, 1)</f>
        <v>0.1</v>
      </c>
      <c r="J185" t="s">
        <v>237</v>
      </c>
    </row>
    <row r="186" spans="2:10" x14ac:dyDescent="0.25">
      <c r="B186" t="str">
        <f>Levels!B185</f>
        <v>Hillcrest Grove 11</v>
      </c>
      <c r="C186" s="4">
        <f>Levels!N185</f>
        <v>64</v>
      </c>
      <c r="D186" s="4">
        <f>ROUND(Levels!P185, 0)</f>
        <v>64</v>
      </c>
      <c r="E186" s="5">
        <f>ROUND(Levels!P185-Levels!N185, 1)</f>
        <v>0</v>
      </c>
      <c r="F186" s="5">
        <f>ROUND(Levels!P185-Levels!O185, 1)</f>
        <v>0</v>
      </c>
      <c r="G186" s="4">
        <f>ROUND(Levels!R185, 0)</f>
        <v>65</v>
      </c>
      <c r="H186" s="5">
        <f>ROUND(Levels!R185-Levels!N185, 1)</f>
        <v>0.7</v>
      </c>
      <c r="I186" s="5">
        <f>ROUND(Levels!R185-Levels!Q185, 1)</f>
        <v>0.1</v>
      </c>
      <c r="J186" t="s">
        <v>237</v>
      </c>
    </row>
    <row r="187" spans="2:10" x14ac:dyDescent="0.25">
      <c r="B187" t="str">
        <f>Levels!B186</f>
        <v>Hillcrest Grove 11</v>
      </c>
      <c r="C187" s="4">
        <f>Levels!N186</f>
        <v>63.9</v>
      </c>
      <c r="D187" s="4">
        <f>ROUND(Levels!P186, 0)</f>
        <v>64</v>
      </c>
      <c r="E187" s="5">
        <f>ROUND(Levels!P186-Levels!N186, 1)</f>
        <v>-0.1</v>
      </c>
      <c r="F187" s="5">
        <f>ROUND(Levels!P186-Levels!O186, 1)</f>
        <v>-0.1</v>
      </c>
      <c r="G187" s="4">
        <f>ROUND(Levels!R186, 0)</f>
        <v>65</v>
      </c>
      <c r="H187" s="5">
        <f>ROUND(Levels!R186-Levels!N186, 1)</f>
        <v>0.7</v>
      </c>
      <c r="I187" s="5">
        <f>ROUND(Levels!R186-Levels!Q186, 1)</f>
        <v>0.1</v>
      </c>
      <c r="J187" t="s">
        <v>237</v>
      </c>
    </row>
    <row r="188" spans="2:10" x14ac:dyDescent="0.25">
      <c r="B188" t="str">
        <f>Levels!B187</f>
        <v>Hillcrest Grove 11</v>
      </c>
      <c r="C188" s="4">
        <f>Levels!N187</f>
        <v>64</v>
      </c>
      <c r="D188" s="4">
        <f>ROUND(Levels!P187, 0)</f>
        <v>64</v>
      </c>
      <c r="E188" s="5">
        <f>ROUND(Levels!P187-Levels!N187, 1)</f>
        <v>0</v>
      </c>
      <c r="F188" s="5">
        <f>ROUND(Levels!P187-Levels!O187, 1)</f>
        <v>-0.1</v>
      </c>
      <c r="G188" s="4">
        <f>ROUND(Levels!R187, 0)</f>
        <v>65</v>
      </c>
      <c r="H188" s="5">
        <f>ROUND(Levels!R187-Levels!N187, 1)</f>
        <v>0.7</v>
      </c>
      <c r="I188" s="5">
        <f>ROUND(Levels!R187-Levels!Q187, 1)</f>
        <v>0.1</v>
      </c>
      <c r="J188" t="s">
        <v>237</v>
      </c>
    </row>
    <row r="189" spans="2:10" x14ac:dyDescent="0.25">
      <c r="B189" t="str">
        <f>Levels!B188</f>
        <v>Hillcrest Grove 4</v>
      </c>
      <c r="C189" s="4">
        <f>Levels!N188</f>
        <v>63.7</v>
      </c>
      <c r="D189" s="4">
        <f>ROUND(Levels!P188, 0)</f>
        <v>64</v>
      </c>
      <c r="E189" s="5">
        <f>ROUND(Levels!P188-Levels!N188, 1)</f>
        <v>0</v>
      </c>
      <c r="F189" s="5">
        <f>ROUND(Levels!P188-Levels!O188, 1)</f>
        <v>-0.1</v>
      </c>
      <c r="G189" s="4">
        <f>ROUND(Levels!R188, 0)</f>
        <v>65</v>
      </c>
      <c r="H189" s="5">
        <f>ROUND(Levels!R188-Levels!N188, 1)</f>
        <v>0.8</v>
      </c>
      <c r="I189" s="5">
        <f>ROUND(Levels!R188-Levels!Q188, 1)</f>
        <v>0.3</v>
      </c>
      <c r="J189" t="s">
        <v>237</v>
      </c>
    </row>
    <row r="190" spans="2:10" x14ac:dyDescent="0.25">
      <c r="B190" t="str">
        <f>Levels!B189</f>
        <v>Hillcrest Grove 4</v>
      </c>
      <c r="C190" s="4">
        <f>Levels!N189</f>
        <v>60.7</v>
      </c>
      <c r="D190" s="4">
        <f>ROUND(Levels!P189, 0)</f>
        <v>61</v>
      </c>
      <c r="E190" s="5">
        <f>ROUND(Levels!P189-Levels!N189, 1)</f>
        <v>0.1</v>
      </c>
      <c r="F190" s="5">
        <f>ROUND(Levels!P189-Levels!O189, 1)</f>
        <v>0</v>
      </c>
      <c r="G190" s="4">
        <f>ROUND(Levels!R189, 0)</f>
        <v>62</v>
      </c>
      <c r="H190" s="5">
        <f>ROUND(Levels!R189-Levels!N189, 1)</f>
        <v>0.9</v>
      </c>
      <c r="I190" s="5">
        <f>ROUND(Levels!R189-Levels!Q189, 1)</f>
        <v>0.3</v>
      </c>
      <c r="J190" t="s">
        <v>237</v>
      </c>
    </row>
    <row r="191" spans="2:10" x14ac:dyDescent="0.25">
      <c r="B191" t="str">
        <f>Levels!B190</f>
        <v>Hillcrest Grove 4</v>
      </c>
      <c r="C191" s="4">
        <f>Levels!N190</f>
        <v>60.7</v>
      </c>
      <c r="D191" s="4">
        <f>ROUND(Levels!P190, 0)</f>
        <v>61</v>
      </c>
      <c r="E191" s="5">
        <f>ROUND(Levels!P190-Levels!N190, 1)</f>
        <v>0.1</v>
      </c>
      <c r="F191" s="5">
        <f>ROUND(Levels!P190-Levels!O190, 1)</f>
        <v>0</v>
      </c>
      <c r="G191" s="4">
        <f>ROUND(Levels!R190, 0)</f>
        <v>62</v>
      </c>
      <c r="H191" s="5">
        <f>ROUND(Levels!R190-Levels!N190, 1)</f>
        <v>0.8</v>
      </c>
      <c r="I191" s="5">
        <f>ROUND(Levels!R190-Levels!Q190, 1)</f>
        <v>0.2</v>
      </c>
      <c r="J191" t="s">
        <v>237</v>
      </c>
    </row>
    <row r="192" spans="2:10" x14ac:dyDescent="0.25">
      <c r="C192" s="1"/>
    </row>
  </sheetData>
  <mergeCells count="2">
    <mergeCell ref="D2:F2"/>
    <mergeCell ref="G2:I2"/>
  </mergeCells>
  <conditionalFormatting sqref="D5:D191">
    <cfRule type="cellIs" dxfId="15" priority="6" operator="between">
      <formula>68</formula>
      <formula>100</formula>
    </cfRule>
    <cfRule type="cellIs" dxfId="14" priority="12" operator="between">
      <formula>68</formula>
      <formula>100</formula>
    </cfRule>
    <cfRule type="cellIs" dxfId="13" priority="13" operator="greaterThan">
      <formula>68</formula>
    </cfRule>
  </conditionalFormatting>
  <conditionalFormatting sqref="E5:E191">
    <cfRule type="cellIs" dxfId="12" priority="5" operator="greaterThan">
      <formula>1</formula>
    </cfRule>
    <cfRule type="cellIs" dxfId="11" priority="11" operator="greaterThan">
      <formula>1</formula>
    </cfRule>
  </conditionalFormatting>
  <conditionalFormatting sqref="G5:G191">
    <cfRule type="cellIs" dxfId="10" priority="3" operator="between">
      <formula>68</formula>
      <formula>100</formula>
    </cfRule>
    <cfRule type="cellIs" dxfId="9" priority="10" operator="between">
      <formula>68</formula>
      <formula>100</formula>
    </cfRule>
  </conditionalFormatting>
  <conditionalFormatting sqref="F5:F191">
    <cfRule type="cellIs" dxfId="8" priority="4" operator="between">
      <formula>1</formula>
      <formula>10</formula>
    </cfRule>
    <cfRule type="cellIs" dxfId="7" priority="9" operator="greaterThan">
      <formula>1</formula>
    </cfRule>
  </conditionalFormatting>
  <conditionalFormatting sqref="H5:H191">
    <cfRule type="cellIs" dxfId="6" priority="2" operator="greaterThan">
      <formula>1</formula>
    </cfRule>
    <cfRule type="cellIs" dxfId="5" priority="8" operator="between">
      <formula>1</formula>
      <formula>20</formula>
    </cfRule>
  </conditionalFormatting>
  <conditionalFormatting sqref="I5:I191">
    <cfRule type="cellIs" dxfId="4" priority="1" operator="between">
      <formula>1</formula>
      <formula>10</formula>
    </cfRule>
    <cfRule type="cellIs" dxfId="3" priority="7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Y190"/>
  <sheetViews>
    <sheetView tabSelected="1" workbookViewId="0">
      <selection activeCell="H20" sqref="H20"/>
    </sheetView>
  </sheetViews>
  <sheetFormatPr defaultRowHeight="15" x14ac:dyDescent="0.25"/>
  <cols>
    <col min="2" max="2" width="22.85546875" bestFit="1" customWidth="1"/>
    <col min="3" max="4" width="8.42578125" bestFit="1" customWidth="1"/>
    <col min="5" max="6" width="7.7109375" bestFit="1" customWidth="1"/>
    <col min="7" max="7" width="27.140625" style="2" customWidth="1"/>
    <col min="8" max="8" width="24.85546875" style="20" customWidth="1"/>
    <col min="9" max="9" width="19.140625" style="2" customWidth="1"/>
    <col min="10" max="10" width="29.28515625" style="2" customWidth="1"/>
    <col min="11" max="11" width="29.28515625" style="20" customWidth="1"/>
    <col min="12" max="12" width="30.42578125" style="2" customWidth="1"/>
    <col min="13" max="13" width="10.42578125" style="2" bestFit="1" customWidth="1"/>
    <col min="14" max="14" width="17.28515625" style="2" bestFit="1" customWidth="1"/>
    <col min="20" max="20" width="34.42578125" bestFit="1" customWidth="1"/>
    <col min="21" max="21" width="19.5703125" bestFit="1" customWidth="1"/>
    <col min="22" max="22" width="28.28515625" bestFit="1" customWidth="1"/>
    <col min="23" max="23" width="34" bestFit="1" customWidth="1"/>
    <col min="24" max="24" width="19.85546875" bestFit="1" customWidth="1"/>
  </cols>
  <sheetData>
    <row r="2" spans="2:25" x14ac:dyDescent="0.25">
      <c r="G2" s="19" t="s">
        <v>149</v>
      </c>
      <c r="H2" s="19"/>
      <c r="I2" s="45" t="s">
        <v>147</v>
      </c>
      <c r="J2" s="45"/>
      <c r="L2" s="45" t="s">
        <v>148</v>
      </c>
      <c r="M2" s="45"/>
      <c r="O2" t="s">
        <v>238</v>
      </c>
      <c r="T2" t="s">
        <v>227</v>
      </c>
      <c r="U2">
        <f>COUNTA(B4:B190)-2</f>
        <v>185</v>
      </c>
    </row>
    <row r="3" spans="2:25" ht="15.75" thickBot="1" x14ac:dyDescent="0.3">
      <c r="B3" s="28"/>
      <c r="C3" s="28" t="s">
        <v>231</v>
      </c>
      <c r="D3" s="28" t="s">
        <v>232</v>
      </c>
      <c r="E3" s="28" t="s">
        <v>233</v>
      </c>
      <c r="F3" s="28" t="s">
        <v>234</v>
      </c>
      <c r="G3" s="29" t="s">
        <v>251</v>
      </c>
      <c r="H3" s="29" t="s">
        <v>229</v>
      </c>
      <c r="I3" s="29" t="s">
        <v>251</v>
      </c>
      <c r="J3" s="29" t="s">
        <v>252</v>
      </c>
      <c r="K3" s="29" t="s">
        <v>229</v>
      </c>
      <c r="L3" s="29" t="s">
        <v>251</v>
      </c>
      <c r="M3" s="29" t="s">
        <v>252</v>
      </c>
      <c r="N3" s="29" t="s">
        <v>230</v>
      </c>
      <c r="O3" s="32" t="s">
        <v>249</v>
      </c>
      <c r="P3" s="32" t="s">
        <v>250</v>
      </c>
      <c r="Q3" s="31"/>
      <c r="S3" s="31"/>
      <c r="T3" s="12" t="s">
        <v>228</v>
      </c>
      <c r="U3" s="14">
        <v>2</v>
      </c>
      <c r="V3" s="12"/>
      <c r="W3" s="12"/>
      <c r="X3" s="12"/>
      <c r="Y3" s="12"/>
    </row>
    <row r="4" spans="2:25" x14ac:dyDescent="0.25">
      <c r="B4" t="str">
        <f>Levels!M4</f>
        <v>Village Farm Bungalow</v>
      </c>
      <c r="C4" s="27">
        <f>ROUND(Levels!O4, 1)</f>
        <v>65.2</v>
      </c>
      <c r="D4" s="27">
        <f>ROUND(Levels!Q4, 1)</f>
        <v>65.7</v>
      </c>
      <c r="E4" s="27">
        <f>ROUND(Levels!P4, 1)</f>
        <v>65.3</v>
      </c>
      <c r="F4" s="27">
        <f>ROUND(Levels!R4,1)</f>
        <v>66</v>
      </c>
      <c r="G4" s="5">
        <f>ROUND(E4-C4, 1)</f>
        <v>0.1</v>
      </c>
      <c r="H4" s="26" t="str">
        <f>ShortTermImpact(G4)</f>
        <v>Negligible</v>
      </c>
      <c r="I4" s="5">
        <f>ROUND(D4-C4,1)</f>
        <v>0.5</v>
      </c>
      <c r="J4" s="5">
        <f>ROUND(0.9*I4,1)</f>
        <v>0.5</v>
      </c>
      <c r="K4" s="5" t="str">
        <f>LongTermImpact(I4)</f>
        <v>Negligible</v>
      </c>
      <c r="L4" s="5">
        <f>ROUND(F4-C4, 1)</f>
        <v>0.8</v>
      </c>
      <c r="M4" s="5">
        <f>ROUND(0.9*L4, 1)</f>
        <v>0.7</v>
      </c>
      <c r="N4" s="2" t="str">
        <f>LongTermImpact(L4)</f>
        <v>Negligible</v>
      </c>
      <c r="O4" s="30">
        <f t="shared" ref="O4:O35" si="0">NuisanceByL10(D4) - NuisanceByL10(C4)</f>
        <v>1.0524320031536305E-2</v>
      </c>
      <c r="P4" s="30">
        <f t="shared" ref="P4:P35" si="1">MAX(NuisanceByL10(F4)-NuisanceByL10(C4), NuisanceChangeByL10Change(G4))</f>
        <v>9.8224379670311612E-2</v>
      </c>
      <c r="T4" s="12"/>
      <c r="U4" s="12"/>
      <c r="V4" s="12"/>
      <c r="W4" s="12"/>
      <c r="X4" s="12"/>
      <c r="Y4" s="12"/>
    </row>
    <row r="5" spans="2:25" ht="15.75" x14ac:dyDescent="0.25">
      <c r="B5" t="str">
        <f>Levels!M5</f>
        <v>Hillcrest Grove 1a</v>
      </c>
      <c r="C5" s="27">
        <f>ROUND(Levels!O5, 1)</f>
        <v>62.5</v>
      </c>
      <c r="D5" s="27">
        <f>ROUND(Levels!Q5, 1)</f>
        <v>63</v>
      </c>
      <c r="E5" s="27">
        <f>ROUND(Levels!P5, 1)</f>
        <v>62.6</v>
      </c>
      <c r="F5" s="27">
        <f>ROUND(Levels!R5,1)</f>
        <v>63.4</v>
      </c>
      <c r="G5" s="5">
        <f t="shared" ref="G5:G68" si="2">ROUND(E5-C5, 1)</f>
        <v>0.1</v>
      </c>
      <c r="H5" s="26" t="str">
        <f t="shared" ref="H5:H68" si="3">ShortTermImpact(G5)</f>
        <v>Negligible</v>
      </c>
      <c r="I5" s="5">
        <f t="shared" ref="I5:I68" si="4">ROUND(D5-C5,1)</f>
        <v>0.5</v>
      </c>
      <c r="J5" s="5">
        <f t="shared" ref="J5:J68" si="5">ROUND(0.9*I5,1)</f>
        <v>0.5</v>
      </c>
      <c r="K5" s="5" t="str">
        <f>LongTermImpact(I5)</f>
        <v>Negligible</v>
      </c>
      <c r="L5" s="5">
        <f t="shared" ref="L5:L68" si="6">ROUND(F5-C5, 1)</f>
        <v>0.9</v>
      </c>
      <c r="M5" s="5">
        <f t="shared" ref="M5:M68" si="7">ROUND(0.9*L5, 1)</f>
        <v>0.8</v>
      </c>
      <c r="N5" s="20" t="str">
        <f t="shared" ref="N5:N68" si="8">LongTermImpact(L5)</f>
        <v>Negligible</v>
      </c>
      <c r="O5" s="30">
        <f t="shared" si="0"/>
        <v>8.6660373849523076E-3</v>
      </c>
      <c r="P5" s="30">
        <f t="shared" si="1"/>
        <v>9.8224379670311612E-2</v>
      </c>
      <c r="T5" s="37" t="s">
        <v>30</v>
      </c>
      <c r="U5" s="37" t="s">
        <v>14</v>
      </c>
      <c r="V5" s="38" t="s">
        <v>15</v>
      </c>
      <c r="W5" s="38"/>
    </row>
    <row r="6" spans="2:25" ht="16.5" thickBot="1" x14ac:dyDescent="0.3">
      <c r="B6" t="str">
        <f>Levels!M6</f>
        <v>Hillcrest Grove 1</v>
      </c>
      <c r="C6" s="27">
        <f>ROUND(Levels!O6, 1)</f>
        <v>64</v>
      </c>
      <c r="D6" s="27">
        <f>ROUND(Levels!Q6, 1)</f>
        <v>64.5</v>
      </c>
      <c r="E6" s="27">
        <f>ROUND(Levels!P6, 1)</f>
        <v>64.099999999999994</v>
      </c>
      <c r="F6" s="27">
        <f>ROUND(Levels!R6,1)</f>
        <v>64.8</v>
      </c>
      <c r="G6" s="5">
        <f t="shared" si="2"/>
        <v>0.1</v>
      </c>
      <c r="H6" s="26" t="str">
        <f t="shared" si="3"/>
        <v>Negligible</v>
      </c>
      <c r="I6" s="5">
        <f t="shared" si="4"/>
        <v>0.5</v>
      </c>
      <c r="J6" s="5">
        <f t="shared" si="5"/>
        <v>0.5</v>
      </c>
      <c r="K6" s="5" t="str">
        <f t="shared" ref="K6:K68" si="9">LongTermImpact(I6)</f>
        <v>Negligible</v>
      </c>
      <c r="L6" s="5">
        <f t="shared" si="6"/>
        <v>0.8</v>
      </c>
      <c r="M6" s="5">
        <f t="shared" si="7"/>
        <v>0.7</v>
      </c>
      <c r="N6" s="20" t="str">
        <f t="shared" si="8"/>
        <v>Negligible</v>
      </c>
      <c r="O6" s="30">
        <f t="shared" si="0"/>
        <v>9.6939471182173609E-3</v>
      </c>
      <c r="P6" s="30">
        <f t="shared" si="1"/>
        <v>9.8224379670311612E-2</v>
      </c>
      <c r="T6" s="39"/>
      <c r="U6" s="39"/>
      <c r="V6" s="39" t="s">
        <v>16</v>
      </c>
      <c r="W6" s="39" t="s">
        <v>17</v>
      </c>
    </row>
    <row r="7" spans="2:25" x14ac:dyDescent="0.25">
      <c r="B7" t="str">
        <f>Levels!M7</f>
        <v>Hillcrest Grove 13</v>
      </c>
      <c r="C7" s="27">
        <f>ROUND(Levels!O7, 1)</f>
        <v>64.5</v>
      </c>
      <c r="D7" s="27">
        <f>ROUND(Levels!Q7, 1)</f>
        <v>65.099999999999994</v>
      </c>
      <c r="E7" s="27">
        <f>ROUND(Levels!P7, 1)</f>
        <v>64.5</v>
      </c>
      <c r="F7" s="27">
        <f>ROUND(Levels!R7,1)</f>
        <v>65.2</v>
      </c>
      <c r="G7" s="5">
        <f t="shared" si="2"/>
        <v>0</v>
      </c>
      <c r="H7" s="26" t="str">
        <f t="shared" si="3"/>
        <v>No change</v>
      </c>
      <c r="I7" s="5">
        <f t="shared" si="4"/>
        <v>0.6</v>
      </c>
      <c r="J7" s="5">
        <f t="shared" si="5"/>
        <v>0.5</v>
      </c>
      <c r="K7" s="5" t="str">
        <f>LongTermImpact(I7)</f>
        <v>Negligible</v>
      </c>
      <c r="L7" s="5">
        <f t="shared" si="6"/>
        <v>0.7</v>
      </c>
      <c r="M7" s="5">
        <f t="shared" si="7"/>
        <v>0.6</v>
      </c>
      <c r="N7" s="20" t="str">
        <f t="shared" si="8"/>
        <v>Negligible</v>
      </c>
      <c r="O7" s="30">
        <f t="shared" si="0"/>
        <v>1.2089752775087614E-2</v>
      </c>
      <c r="P7" s="30">
        <f t="shared" si="1"/>
        <v>1.4153179848468145E-2</v>
      </c>
      <c r="T7" s="13" t="s">
        <v>18</v>
      </c>
      <c r="U7" s="13" t="s">
        <v>19</v>
      </c>
      <c r="V7" s="22">
        <f>countValueBtwX_Y(G4:G190,0.09,1)</f>
        <v>14</v>
      </c>
      <c r="W7" s="2">
        <v>0</v>
      </c>
    </row>
    <row r="8" spans="2:25" x14ac:dyDescent="0.25">
      <c r="B8" t="str">
        <f>Levels!M8</f>
        <v>Hillcrest Grove 21</v>
      </c>
      <c r="C8" s="27">
        <f>ROUND(Levels!O8, 1)</f>
        <v>64</v>
      </c>
      <c r="D8" s="27">
        <f>ROUND(Levels!Q8, 1)</f>
        <v>64.599999999999994</v>
      </c>
      <c r="E8" s="27">
        <f>ROUND(Levels!P8, 1)</f>
        <v>64</v>
      </c>
      <c r="F8" s="27">
        <f>ROUND(Levels!R8,1)</f>
        <v>64.7</v>
      </c>
      <c r="G8" s="5">
        <f t="shared" si="2"/>
        <v>0</v>
      </c>
      <c r="H8" s="26" t="str">
        <f t="shared" si="3"/>
        <v>No change</v>
      </c>
      <c r="I8" s="5">
        <f t="shared" si="4"/>
        <v>0.6</v>
      </c>
      <c r="J8" s="5">
        <f t="shared" si="5"/>
        <v>0.5</v>
      </c>
      <c r="K8" s="5" t="str">
        <f t="shared" si="9"/>
        <v>Negligible</v>
      </c>
      <c r="L8" s="5">
        <f t="shared" si="6"/>
        <v>0.7</v>
      </c>
      <c r="M8" s="5">
        <f t="shared" si="7"/>
        <v>0.6</v>
      </c>
      <c r="N8" s="20" t="str">
        <f t="shared" si="8"/>
        <v>Negligible</v>
      </c>
      <c r="O8" s="30">
        <f t="shared" si="0"/>
        <v>1.1674269657360431E-2</v>
      </c>
      <c r="P8" s="30">
        <f t="shared" si="1"/>
        <v>1.3668447597674716E-2</v>
      </c>
      <c r="T8" t="s">
        <v>20</v>
      </c>
      <c r="U8" t="s">
        <v>21</v>
      </c>
      <c r="V8" s="4">
        <f>countValueBtwX_Y(G4:G190, 0.9, 3)</f>
        <v>0</v>
      </c>
      <c r="W8" s="2">
        <v>0</v>
      </c>
    </row>
    <row r="9" spans="2:25" x14ac:dyDescent="0.25">
      <c r="B9" t="str">
        <f>Levels!M9</f>
        <v>The Paddock 10</v>
      </c>
      <c r="C9" s="27">
        <f>ROUND(Levels!O9, 1)</f>
        <v>51.2</v>
      </c>
      <c r="D9" s="27">
        <f>ROUND(Levels!Q9, 1)</f>
        <v>51.8</v>
      </c>
      <c r="E9" s="27">
        <f>ROUND(Levels!P9, 1)</f>
        <v>51.4</v>
      </c>
      <c r="F9" s="27">
        <f>ROUND(Levels!R9,1)</f>
        <v>52.1</v>
      </c>
      <c r="G9" s="5">
        <f t="shared" si="2"/>
        <v>0.2</v>
      </c>
      <c r="H9" s="26" t="str">
        <f t="shared" si="3"/>
        <v>Negligible</v>
      </c>
      <c r="I9" s="5">
        <f t="shared" si="4"/>
        <v>0.6</v>
      </c>
      <c r="J9" s="5">
        <f t="shared" si="5"/>
        <v>0.5</v>
      </c>
      <c r="K9" s="5" t="str">
        <f t="shared" si="9"/>
        <v>Negligible</v>
      </c>
      <c r="L9" s="5">
        <f t="shared" si="6"/>
        <v>0.9</v>
      </c>
      <c r="M9" s="5">
        <f t="shared" si="7"/>
        <v>0.8</v>
      </c>
      <c r="N9" s="20" t="str">
        <f t="shared" si="8"/>
        <v>Negligible</v>
      </c>
      <c r="O9" s="30">
        <f t="shared" si="0"/>
        <v>3.5597577203889674E-3</v>
      </c>
      <c r="P9" s="30">
        <f t="shared" si="1"/>
        <v>0.12346935894969169</v>
      </c>
      <c r="T9" t="s">
        <v>22</v>
      </c>
      <c r="U9" t="s">
        <v>23</v>
      </c>
      <c r="V9" s="4">
        <v>0</v>
      </c>
      <c r="W9" s="2">
        <v>0</v>
      </c>
    </row>
    <row r="10" spans="2:25" x14ac:dyDescent="0.25">
      <c r="B10" t="str">
        <f>Levels!M10</f>
        <v>The Paddock 12</v>
      </c>
      <c r="C10" s="27">
        <f>ROUND(Levels!O10, 1)</f>
        <v>51</v>
      </c>
      <c r="D10" s="27">
        <f>ROUND(Levels!Q10, 1)</f>
        <v>51.6</v>
      </c>
      <c r="E10" s="27">
        <f>ROUND(Levels!P10, 1)</f>
        <v>51.1</v>
      </c>
      <c r="F10" s="27">
        <f>ROUND(Levels!R10,1)</f>
        <v>51.9</v>
      </c>
      <c r="G10" s="5">
        <f t="shared" si="2"/>
        <v>0.1</v>
      </c>
      <c r="H10" s="26" t="str">
        <f t="shared" si="3"/>
        <v>Negligible</v>
      </c>
      <c r="I10" s="5">
        <f t="shared" si="4"/>
        <v>0.6</v>
      </c>
      <c r="J10" s="5">
        <f t="shared" si="5"/>
        <v>0.5</v>
      </c>
      <c r="K10" s="5" t="str">
        <f t="shared" si="9"/>
        <v>Negligible</v>
      </c>
      <c r="L10" s="5">
        <f t="shared" si="6"/>
        <v>0.9</v>
      </c>
      <c r="M10" s="5">
        <f t="shared" si="7"/>
        <v>0.8</v>
      </c>
      <c r="N10" s="20" t="str">
        <f t="shared" si="8"/>
        <v>Negligible</v>
      </c>
      <c r="O10" s="30">
        <f t="shared" si="0"/>
        <v>3.483957816636761E-3</v>
      </c>
      <c r="P10" s="30">
        <f t="shared" si="1"/>
        <v>9.8224379670311612E-2</v>
      </c>
      <c r="T10" t="s">
        <v>24</v>
      </c>
      <c r="U10" t="s">
        <v>25</v>
      </c>
      <c r="V10" s="4">
        <v>0</v>
      </c>
      <c r="W10" s="2">
        <v>0</v>
      </c>
    </row>
    <row r="11" spans="2:25" x14ac:dyDescent="0.25">
      <c r="B11" t="str">
        <f>Levels!M11</f>
        <v>The Paddock 14</v>
      </c>
      <c r="C11" s="27">
        <f>ROUND(Levels!O11, 1)</f>
        <v>51.2</v>
      </c>
      <c r="D11" s="27">
        <f>ROUND(Levels!Q11, 1)</f>
        <v>51.8</v>
      </c>
      <c r="E11" s="27">
        <f>ROUND(Levels!P11, 1)</f>
        <v>51.2</v>
      </c>
      <c r="F11" s="27">
        <f>ROUND(Levels!R11,1)</f>
        <v>52</v>
      </c>
      <c r="G11" s="5">
        <f t="shared" si="2"/>
        <v>0</v>
      </c>
      <c r="H11" s="26" t="str">
        <f t="shared" si="3"/>
        <v>No change</v>
      </c>
      <c r="I11" s="5">
        <f t="shared" si="4"/>
        <v>0.6</v>
      </c>
      <c r="J11" s="5">
        <f t="shared" si="5"/>
        <v>0.5</v>
      </c>
      <c r="K11" s="5" t="str">
        <f t="shared" si="9"/>
        <v>Negligible</v>
      </c>
      <c r="L11" s="5">
        <f t="shared" si="6"/>
        <v>0.8</v>
      </c>
      <c r="M11" s="5">
        <f t="shared" si="7"/>
        <v>0.7</v>
      </c>
      <c r="N11" s="20" t="str">
        <f t="shared" si="8"/>
        <v>Negligible</v>
      </c>
      <c r="O11" s="30">
        <f t="shared" si="0"/>
        <v>3.5597577203889674E-3</v>
      </c>
      <c r="P11" s="30">
        <f t="shared" si="1"/>
        <v>4.798160616877635E-3</v>
      </c>
      <c r="T11">
        <v>0</v>
      </c>
      <c r="V11" s="4">
        <f>COUNTIF(G4:G190, "=0")</f>
        <v>28</v>
      </c>
    </row>
    <row r="12" spans="2:25" x14ac:dyDescent="0.25">
      <c r="B12" t="str">
        <f>Levels!M12</f>
        <v>The Paddock 17</v>
      </c>
      <c r="C12" s="27">
        <f>ROUND(Levels!O12, 1)</f>
        <v>50.6</v>
      </c>
      <c r="D12" s="27">
        <f>ROUND(Levels!Q12, 1)</f>
        <v>51.1</v>
      </c>
      <c r="E12" s="27">
        <f>ROUND(Levels!P12, 1)</f>
        <v>50.5</v>
      </c>
      <c r="F12" s="27">
        <f>ROUND(Levels!R12,1)</f>
        <v>51.3</v>
      </c>
      <c r="G12" s="5">
        <f t="shared" si="2"/>
        <v>-0.1</v>
      </c>
      <c r="H12" s="26" t="str">
        <f t="shared" si="3"/>
        <v>-</v>
      </c>
      <c r="I12" s="5">
        <f t="shared" si="4"/>
        <v>0.5</v>
      </c>
      <c r="J12" s="5">
        <f t="shared" si="5"/>
        <v>0.5</v>
      </c>
      <c r="K12" s="5" t="str">
        <f t="shared" si="9"/>
        <v>Negligible</v>
      </c>
      <c r="L12" s="5">
        <f t="shared" si="6"/>
        <v>0.7</v>
      </c>
      <c r="M12" s="5">
        <f t="shared" si="7"/>
        <v>0.6</v>
      </c>
      <c r="N12" s="20" t="str">
        <f t="shared" si="8"/>
        <v>Negligible</v>
      </c>
      <c r="O12" s="30">
        <f t="shared" si="0"/>
        <v>2.7653566853185901E-3</v>
      </c>
      <c r="P12" s="30">
        <f t="shared" si="1"/>
        <v>3.9140637978979723E-3</v>
      </c>
      <c r="T12" t="s">
        <v>224</v>
      </c>
      <c r="V12" s="20">
        <f>countValueBtwX_Y(G4:G190, -1, -0.09)-1</f>
        <v>74</v>
      </c>
      <c r="W12" s="20">
        <v>1</v>
      </c>
    </row>
    <row r="13" spans="2:25" ht="30" customHeight="1" x14ac:dyDescent="0.25">
      <c r="B13" t="str">
        <f>Levels!M13</f>
        <v>North Close 14</v>
      </c>
      <c r="C13" s="27">
        <f>ROUND(Levels!O13, 1)</f>
        <v>67.400000000000006</v>
      </c>
      <c r="D13" s="27">
        <f>ROUND(Levels!Q13, 1)</f>
        <v>67.8</v>
      </c>
      <c r="E13" s="27">
        <f>ROUND(Levels!P13, 1)</f>
        <v>67.400000000000006</v>
      </c>
      <c r="F13" s="27">
        <f>ROUND(Levels!R13,1)</f>
        <v>68.099999999999994</v>
      </c>
      <c r="G13" s="5">
        <f t="shared" si="2"/>
        <v>0</v>
      </c>
      <c r="H13" s="26" t="str">
        <f t="shared" si="3"/>
        <v>No change</v>
      </c>
      <c r="I13" s="5">
        <f t="shared" si="4"/>
        <v>0.4</v>
      </c>
      <c r="J13" s="5">
        <f t="shared" si="5"/>
        <v>0.4</v>
      </c>
      <c r="K13" s="5" t="str">
        <f t="shared" si="9"/>
        <v>Negligible</v>
      </c>
      <c r="L13" s="5">
        <f t="shared" si="6"/>
        <v>0.7</v>
      </c>
      <c r="M13" s="5">
        <f t="shared" si="7"/>
        <v>0.6</v>
      </c>
      <c r="N13" s="20" t="str">
        <f t="shared" si="8"/>
        <v>Negligible</v>
      </c>
      <c r="O13" s="30">
        <f t="shared" si="0"/>
        <v>9.5758485439567109E-3</v>
      </c>
      <c r="P13" s="30">
        <f t="shared" si="1"/>
        <v>1.6892052144194647E-2</v>
      </c>
      <c r="T13" t="s">
        <v>20</v>
      </c>
      <c r="V13" s="20">
        <f>countValueBtwX_Y(G4:G190, -3, -0.9)-1</f>
        <v>16</v>
      </c>
      <c r="W13" s="20">
        <v>1</v>
      </c>
    </row>
    <row r="14" spans="2:25" x14ac:dyDescent="0.25">
      <c r="B14" t="str">
        <f>Levels!M14</f>
        <v>North Close15</v>
      </c>
      <c r="C14" s="27">
        <f>ROUND(Levels!O14, 1)</f>
        <v>59.6</v>
      </c>
      <c r="D14" s="27">
        <f>ROUND(Levels!Q14, 1)</f>
        <v>58.9</v>
      </c>
      <c r="E14" s="27">
        <f>ROUND(Levels!P14, 1)</f>
        <v>59.4</v>
      </c>
      <c r="F14" s="27">
        <f>ROUND(Levels!R14,1)</f>
        <v>60.2</v>
      </c>
      <c r="G14" s="5">
        <f t="shared" si="2"/>
        <v>-0.2</v>
      </c>
      <c r="H14" s="26" t="str">
        <f t="shared" si="3"/>
        <v>-</v>
      </c>
      <c r="I14" s="5">
        <f t="shared" si="4"/>
        <v>-0.7</v>
      </c>
      <c r="J14" s="5">
        <f t="shared" si="5"/>
        <v>-0.6</v>
      </c>
      <c r="K14" s="5" t="str">
        <f t="shared" si="9"/>
        <v>-</v>
      </c>
      <c r="L14" s="5">
        <f t="shared" si="6"/>
        <v>0.6</v>
      </c>
      <c r="M14" s="5">
        <f t="shared" si="7"/>
        <v>0.5</v>
      </c>
      <c r="N14" s="20" t="str">
        <f t="shared" si="8"/>
        <v>Negligible</v>
      </c>
      <c r="O14" s="30">
        <f t="shared" si="0"/>
        <v>-9.0233700747765905E-3</v>
      </c>
      <c r="P14" s="30">
        <f t="shared" si="1"/>
        <v>8.1978509727016202E-3</v>
      </c>
      <c r="T14" t="s">
        <v>22</v>
      </c>
      <c r="V14" s="20">
        <f>countValueBtwX_Y(G4:G190, -5, -2.9)</f>
        <v>45</v>
      </c>
    </row>
    <row r="15" spans="2:25" x14ac:dyDescent="0.25">
      <c r="B15" t="str">
        <f>Levels!M15</f>
        <v>North Close 7</v>
      </c>
      <c r="C15" s="27">
        <f>ROUND(Levels!O15, 1)</f>
        <v>56.7</v>
      </c>
      <c r="D15" s="27">
        <f>ROUND(Levels!Q15, 1)</f>
        <v>56.9</v>
      </c>
      <c r="E15" s="27">
        <f>ROUND(Levels!P15, 1)</f>
        <v>56.1</v>
      </c>
      <c r="F15" s="27">
        <f>ROUND(Levels!R15,1)</f>
        <v>56.8</v>
      </c>
      <c r="G15" s="5">
        <f t="shared" si="2"/>
        <v>-0.6</v>
      </c>
      <c r="H15" s="26" t="str">
        <f t="shared" si="3"/>
        <v>-</v>
      </c>
      <c r="I15" s="5">
        <f t="shared" si="4"/>
        <v>0.2</v>
      </c>
      <c r="J15" s="5">
        <f t="shared" si="5"/>
        <v>0.2</v>
      </c>
      <c r="K15" s="5" t="str">
        <f t="shared" si="9"/>
        <v>Negligible</v>
      </c>
      <c r="L15" s="5">
        <f t="shared" si="6"/>
        <v>0.1</v>
      </c>
      <c r="M15" s="5">
        <f t="shared" si="7"/>
        <v>0.1</v>
      </c>
      <c r="N15" s="20" t="str">
        <f t="shared" si="8"/>
        <v>Negligible</v>
      </c>
      <c r="O15" s="30">
        <f t="shared" si="0"/>
        <v>2.0468568518051955E-3</v>
      </c>
      <c r="P15" s="30">
        <f t="shared" si="1"/>
        <v>1.0184441683320777E-3</v>
      </c>
      <c r="T15" t="s">
        <v>24</v>
      </c>
      <c r="V15" s="20">
        <f>COUNTIF(G4:G190, "&lt;=-5")</f>
        <v>8</v>
      </c>
    </row>
    <row r="16" spans="2:25" x14ac:dyDescent="0.25">
      <c r="B16" t="str">
        <f>Levels!M16</f>
        <v>North Close 19</v>
      </c>
      <c r="C16" s="27">
        <f>ROUND(Levels!O16, 1)</f>
        <v>61.8</v>
      </c>
      <c r="D16" s="27">
        <f>ROUND(Levels!Q16, 1)</f>
        <v>62.3</v>
      </c>
      <c r="E16" s="27">
        <f>ROUND(Levels!P16, 1)</f>
        <v>61.7</v>
      </c>
      <c r="F16" s="27">
        <f>ROUND(Levels!R16,1)</f>
        <v>62.5</v>
      </c>
      <c r="G16" s="5">
        <f t="shared" si="2"/>
        <v>-0.1</v>
      </c>
      <c r="H16" s="26" t="str">
        <f t="shared" si="3"/>
        <v>-</v>
      </c>
      <c r="I16" s="5">
        <f t="shared" si="4"/>
        <v>0.5</v>
      </c>
      <c r="J16" s="5">
        <f t="shared" si="5"/>
        <v>0.5</v>
      </c>
      <c r="K16" s="5" t="str">
        <f t="shared" si="9"/>
        <v>Negligible</v>
      </c>
      <c r="L16" s="5">
        <f t="shared" si="6"/>
        <v>0.7</v>
      </c>
      <c r="M16" s="5">
        <f t="shared" si="7"/>
        <v>0.6</v>
      </c>
      <c r="N16" s="20" t="str">
        <f t="shared" si="8"/>
        <v>Negligible</v>
      </c>
      <c r="O16" s="30">
        <f t="shared" si="0"/>
        <v>8.197526897582269E-3</v>
      </c>
      <c r="P16" s="30">
        <f t="shared" si="1"/>
        <v>1.1569706996549967E-2</v>
      </c>
      <c r="V16" s="1"/>
    </row>
    <row r="17" spans="2:24" x14ac:dyDescent="0.25">
      <c r="B17" t="str">
        <f>Levels!M17</f>
        <v>North Close 22</v>
      </c>
      <c r="C17" s="27">
        <f>ROUND(Levels!O17, 1)</f>
        <v>62.9</v>
      </c>
      <c r="D17" s="27">
        <f>ROUND(Levels!Q17, 1)</f>
        <v>63.3</v>
      </c>
      <c r="E17" s="27">
        <f>ROUND(Levels!P17, 1)</f>
        <v>62.6</v>
      </c>
      <c r="F17" s="27">
        <f>ROUND(Levels!R17,1)</f>
        <v>63.4</v>
      </c>
      <c r="G17" s="5">
        <f t="shared" si="2"/>
        <v>-0.3</v>
      </c>
      <c r="H17" s="26" t="str">
        <f t="shared" si="3"/>
        <v>-</v>
      </c>
      <c r="I17" s="5">
        <f t="shared" si="4"/>
        <v>0.4</v>
      </c>
      <c r="J17" s="5">
        <f t="shared" si="5"/>
        <v>0.4</v>
      </c>
      <c r="K17" s="5" t="str">
        <f t="shared" si="9"/>
        <v>Negligible</v>
      </c>
      <c r="L17" s="5">
        <f t="shared" si="6"/>
        <v>0.5</v>
      </c>
      <c r="M17" s="5">
        <f t="shared" si="7"/>
        <v>0.5</v>
      </c>
      <c r="N17" s="20" t="str">
        <f t="shared" si="8"/>
        <v>Negligible</v>
      </c>
      <c r="O17" s="30">
        <f t="shared" si="0"/>
        <v>7.1227526559172472E-3</v>
      </c>
      <c r="P17" s="30">
        <f t="shared" si="1"/>
        <v>8.9375637881465297E-3</v>
      </c>
    </row>
    <row r="18" spans="2:24" x14ac:dyDescent="0.25">
      <c r="B18" t="str">
        <f>Levels!M18</f>
        <v>North Close 1</v>
      </c>
      <c r="C18" s="27">
        <f>ROUND(Levels!O18, 1)</f>
        <v>64.599999999999994</v>
      </c>
      <c r="D18" s="27">
        <f>ROUND(Levels!Q18, 1)</f>
        <v>64.900000000000006</v>
      </c>
      <c r="E18" s="27">
        <f>ROUND(Levels!P18, 1)</f>
        <v>64.2</v>
      </c>
      <c r="F18" s="27">
        <f>ROUND(Levels!R18,1)</f>
        <v>64.900000000000006</v>
      </c>
      <c r="G18" s="5">
        <f t="shared" si="2"/>
        <v>-0.4</v>
      </c>
      <c r="H18" s="26" t="str">
        <f t="shared" si="3"/>
        <v>-</v>
      </c>
      <c r="I18" s="5">
        <f t="shared" si="4"/>
        <v>0.3</v>
      </c>
      <c r="J18" s="5">
        <f t="shared" si="5"/>
        <v>0.3</v>
      </c>
      <c r="K18" s="5" t="str">
        <f t="shared" si="9"/>
        <v>Negligible</v>
      </c>
      <c r="L18" s="5">
        <f t="shared" si="6"/>
        <v>0.3</v>
      </c>
      <c r="M18" s="5">
        <f t="shared" si="7"/>
        <v>0.3</v>
      </c>
      <c r="N18" s="20" t="str">
        <f t="shared" si="8"/>
        <v>Negligible</v>
      </c>
      <c r="O18" s="30">
        <f t="shared" si="0"/>
        <v>6.0241013568559931E-3</v>
      </c>
      <c r="P18" s="30">
        <f t="shared" si="1"/>
        <v>6.0241013568559931E-3</v>
      </c>
      <c r="T18" s="40" t="s">
        <v>225</v>
      </c>
      <c r="U18" s="40"/>
      <c r="V18" s="41" t="s">
        <v>15</v>
      </c>
      <c r="W18" s="41"/>
      <c r="X18" s="40" t="s">
        <v>31</v>
      </c>
    </row>
    <row r="19" spans="2:24" ht="15.75" thickBot="1" x14ac:dyDescent="0.3">
      <c r="B19" t="str">
        <f>Levels!M19</f>
        <v>North Lane 33</v>
      </c>
      <c r="C19" s="27">
        <f>ROUND(Levels!O19, 1)</f>
        <v>59.2</v>
      </c>
      <c r="D19" s="27">
        <f>ROUND(Levels!Q19, 1)</f>
        <v>60.1</v>
      </c>
      <c r="E19" s="27">
        <f>ROUND(Levels!P19, 1)</f>
        <v>55.3</v>
      </c>
      <c r="F19" s="27">
        <f>ROUND(Levels!R19,1)</f>
        <v>56.1</v>
      </c>
      <c r="G19" s="5">
        <f t="shared" si="2"/>
        <v>-3.9</v>
      </c>
      <c r="H19" s="26" t="str">
        <f t="shared" si="3"/>
        <v>-</v>
      </c>
      <c r="I19" s="5">
        <f t="shared" si="4"/>
        <v>0.9</v>
      </c>
      <c r="J19" s="5">
        <f t="shared" si="5"/>
        <v>0.8</v>
      </c>
      <c r="K19" s="5" t="str">
        <f t="shared" si="9"/>
        <v>Negligible</v>
      </c>
      <c r="L19" s="5">
        <f t="shared" si="6"/>
        <v>-3.1</v>
      </c>
      <c r="M19" s="5">
        <f t="shared" si="7"/>
        <v>-2.8</v>
      </c>
      <c r="N19" s="20" t="str">
        <f t="shared" si="8"/>
        <v>-</v>
      </c>
      <c r="O19" s="30">
        <f t="shared" si="0"/>
        <v>1.2027422357976533E-2</v>
      </c>
      <c r="P19" s="30">
        <f t="shared" si="1"/>
        <v>-3.4521012061266343E-2</v>
      </c>
      <c r="T19" s="42"/>
      <c r="U19" s="42"/>
      <c r="V19" s="42" t="s">
        <v>16</v>
      </c>
      <c r="W19" s="42" t="s">
        <v>17</v>
      </c>
      <c r="X19" s="42" t="s">
        <v>16</v>
      </c>
    </row>
    <row r="20" spans="2:24" x14ac:dyDescent="0.25">
      <c r="B20" t="str">
        <f>Levels!M20</f>
        <v>North Lane 25</v>
      </c>
      <c r="C20" s="27">
        <f>ROUND(Levels!O20, 1)</f>
        <v>58.7</v>
      </c>
      <c r="D20" s="27">
        <f>ROUND(Levels!Q20, 1)</f>
        <v>59.5</v>
      </c>
      <c r="E20" s="27">
        <f>ROUND(Levels!P20, 1)</f>
        <v>54.9</v>
      </c>
      <c r="F20" s="27">
        <f>ROUND(Levels!R20,1)</f>
        <v>55.7</v>
      </c>
      <c r="G20" s="5">
        <f t="shared" si="2"/>
        <v>-3.8</v>
      </c>
      <c r="H20" s="26" t="str">
        <f t="shared" si="3"/>
        <v>-</v>
      </c>
      <c r="I20" s="5">
        <f t="shared" si="4"/>
        <v>0.8</v>
      </c>
      <c r="J20" s="5">
        <f t="shared" si="5"/>
        <v>0.7</v>
      </c>
      <c r="K20" s="5" t="str">
        <f t="shared" si="9"/>
        <v>Negligible</v>
      </c>
      <c r="L20" s="5">
        <f t="shared" si="6"/>
        <v>-3</v>
      </c>
      <c r="M20" s="5">
        <f t="shared" si="7"/>
        <v>-2.7</v>
      </c>
      <c r="N20" s="20" t="str">
        <f t="shared" si="8"/>
        <v>-</v>
      </c>
      <c r="O20" s="30">
        <f t="shared" si="0"/>
        <v>1.0173191388762867E-2</v>
      </c>
      <c r="P20" s="30">
        <f t="shared" si="1"/>
        <v>-3.199643963250777E-2</v>
      </c>
      <c r="T20" s="13" t="s">
        <v>26</v>
      </c>
      <c r="U20" s="13" t="s">
        <v>19</v>
      </c>
      <c r="V20" s="22">
        <f>countValueBtwX_Y(I4:I190,0.09,3)-2</f>
        <v>180</v>
      </c>
      <c r="W20" s="2"/>
      <c r="X20" s="22">
        <f>countValueBtwX_Y(J4:J190,0.09,3)-2</f>
        <v>180</v>
      </c>
    </row>
    <row r="21" spans="2:24" ht="30" customHeight="1" x14ac:dyDescent="0.25">
      <c r="B21" t="str">
        <f>Levels!M21</f>
        <v>North Lane 15</v>
      </c>
      <c r="C21" s="27">
        <f>ROUND(Levels!O21, 1)</f>
        <v>59.4</v>
      </c>
      <c r="D21" s="27">
        <f>ROUND(Levels!Q21, 1)</f>
        <v>60.2</v>
      </c>
      <c r="E21" s="27">
        <f>ROUND(Levels!P21, 1)</f>
        <v>56.3</v>
      </c>
      <c r="F21" s="27">
        <f>ROUND(Levels!R21,1)</f>
        <v>57.1</v>
      </c>
      <c r="G21" s="5">
        <f t="shared" si="2"/>
        <v>-3.1</v>
      </c>
      <c r="H21" s="26" t="str">
        <f t="shared" si="3"/>
        <v>-</v>
      </c>
      <c r="I21" s="5">
        <f t="shared" si="4"/>
        <v>0.8</v>
      </c>
      <c r="J21" s="5">
        <f t="shared" si="5"/>
        <v>0.7</v>
      </c>
      <c r="K21" s="5" t="str">
        <f t="shared" si="9"/>
        <v>Negligible</v>
      </c>
      <c r="L21" s="5">
        <f t="shared" si="6"/>
        <v>-2.2999999999999998</v>
      </c>
      <c r="M21" s="5">
        <f t="shared" si="7"/>
        <v>-2.1</v>
      </c>
      <c r="N21" s="20" t="str">
        <f t="shared" si="8"/>
        <v>-</v>
      </c>
      <c r="O21" s="30">
        <f t="shared" si="0"/>
        <v>1.0834523884408587E-2</v>
      </c>
      <c r="P21" s="30">
        <f t="shared" si="1"/>
        <v>-2.707133505713899E-2</v>
      </c>
      <c r="T21" t="s">
        <v>27</v>
      </c>
      <c r="U21" t="s">
        <v>21</v>
      </c>
      <c r="V21" s="4">
        <f>countValueBtwX_Y(I4:I190, 2.9, 5)</f>
        <v>0</v>
      </c>
      <c r="W21" s="2">
        <v>2</v>
      </c>
      <c r="X21" s="4">
        <f>countValueBtwX_Y(J4:J190, 2.9, 5)</f>
        <v>0</v>
      </c>
    </row>
    <row r="22" spans="2:24" x14ac:dyDescent="0.25">
      <c r="B22" t="str">
        <f>Levels!M22</f>
        <v>North Lane 11</v>
      </c>
      <c r="C22" s="27">
        <f>ROUND(Levels!O22, 1)</f>
        <v>59.9</v>
      </c>
      <c r="D22" s="27">
        <f>ROUND(Levels!Q22, 1)</f>
        <v>60.7</v>
      </c>
      <c r="E22" s="27">
        <f>ROUND(Levels!P22, 1)</f>
        <v>56.8</v>
      </c>
      <c r="F22" s="27">
        <f>ROUND(Levels!R22,1)</f>
        <v>57.6</v>
      </c>
      <c r="G22" s="5">
        <f t="shared" si="2"/>
        <v>-3.1</v>
      </c>
      <c r="H22" s="26" t="str">
        <f t="shared" si="3"/>
        <v>-</v>
      </c>
      <c r="I22" s="5">
        <f t="shared" si="4"/>
        <v>0.8</v>
      </c>
      <c r="J22" s="5">
        <f t="shared" si="5"/>
        <v>0.7</v>
      </c>
      <c r="K22" s="5" t="str">
        <f t="shared" si="9"/>
        <v>Negligible</v>
      </c>
      <c r="L22" s="5">
        <f t="shared" si="6"/>
        <v>-2.2999999999999998</v>
      </c>
      <c r="M22" s="5">
        <f t="shared" si="7"/>
        <v>-2.1</v>
      </c>
      <c r="N22" s="20" t="str">
        <f t="shared" si="8"/>
        <v>-</v>
      </c>
      <c r="O22" s="30">
        <f t="shared" si="0"/>
        <v>1.1322081312840515E-2</v>
      </c>
      <c r="P22" s="30">
        <f t="shared" si="1"/>
        <v>-2.835546812354417E-2</v>
      </c>
      <c r="T22" t="s">
        <v>28</v>
      </c>
      <c r="U22" t="s">
        <v>23</v>
      </c>
      <c r="V22" s="4">
        <v>0</v>
      </c>
      <c r="W22" s="2"/>
      <c r="X22" s="4">
        <v>0</v>
      </c>
    </row>
    <row r="23" spans="2:24" x14ac:dyDescent="0.25">
      <c r="B23" t="str">
        <f>Levels!M23</f>
        <v>North Lane 7</v>
      </c>
      <c r="C23" s="27">
        <f>ROUND(Levels!O23, 1)</f>
        <v>60.4</v>
      </c>
      <c r="D23" s="27">
        <f>ROUND(Levels!Q23, 1)</f>
        <v>61.2</v>
      </c>
      <c r="E23" s="27">
        <f>ROUND(Levels!P23, 1)</f>
        <v>56.6</v>
      </c>
      <c r="F23" s="27">
        <f>ROUND(Levels!R23,1)</f>
        <v>57.3</v>
      </c>
      <c r="G23" s="5">
        <f t="shared" si="2"/>
        <v>-3.8</v>
      </c>
      <c r="H23" s="26" t="str">
        <f t="shared" si="3"/>
        <v>-</v>
      </c>
      <c r="I23" s="5">
        <f t="shared" si="4"/>
        <v>0.8</v>
      </c>
      <c r="J23" s="5">
        <f t="shared" si="5"/>
        <v>0.7</v>
      </c>
      <c r="K23" s="5" t="str">
        <f t="shared" si="9"/>
        <v>Negligible</v>
      </c>
      <c r="L23" s="5">
        <f t="shared" si="6"/>
        <v>-3.1</v>
      </c>
      <c r="M23" s="5">
        <f t="shared" si="7"/>
        <v>-2.8</v>
      </c>
      <c r="N23" s="20" t="str">
        <f t="shared" si="8"/>
        <v>-</v>
      </c>
      <c r="O23" s="30">
        <f t="shared" si="0"/>
        <v>1.1821533275865076E-2</v>
      </c>
      <c r="P23" s="30">
        <f t="shared" si="1"/>
        <v>-3.8608326163315596E-2</v>
      </c>
      <c r="T23" t="s">
        <v>29</v>
      </c>
      <c r="U23" t="s">
        <v>25</v>
      </c>
      <c r="V23" s="4">
        <v>0</v>
      </c>
      <c r="W23" s="2"/>
      <c r="X23" s="4">
        <v>0</v>
      </c>
    </row>
    <row r="24" spans="2:24" x14ac:dyDescent="0.25">
      <c r="B24" t="str">
        <f>Levels!M24</f>
        <v>Midbec</v>
      </c>
      <c r="C24" s="27">
        <f>ROUND(Levels!O24, 1)</f>
        <v>59.1</v>
      </c>
      <c r="D24" s="27">
        <f>ROUND(Levels!Q24, 1)</f>
        <v>59.8</v>
      </c>
      <c r="E24" s="27">
        <f>ROUND(Levels!P24, 1)</f>
        <v>55.6</v>
      </c>
      <c r="F24" s="27">
        <f>ROUND(Levels!R24,1)</f>
        <v>56.3</v>
      </c>
      <c r="G24" s="5">
        <f t="shared" si="2"/>
        <v>-3.5</v>
      </c>
      <c r="H24" s="26" t="str">
        <f t="shared" si="3"/>
        <v>-</v>
      </c>
      <c r="I24" s="5">
        <f t="shared" si="4"/>
        <v>0.7</v>
      </c>
      <c r="J24" s="5">
        <f t="shared" si="5"/>
        <v>0.6</v>
      </c>
      <c r="K24" s="5" t="str">
        <f t="shared" si="9"/>
        <v>Negligible</v>
      </c>
      <c r="L24" s="5">
        <f t="shared" si="6"/>
        <v>-2.8</v>
      </c>
      <c r="M24" s="5">
        <f t="shared" si="7"/>
        <v>-2.5</v>
      </c>
      <c r="N24" s="20" t="str">
        <f t="shared" si="8"/>
        <v>-</v>
      </c>
      <c r="O24" s="30">
        <f t="shared" si="0"/>
        <v>9.1878092507226145E-3</v>
      </c>
      <c r="P24" s="30">
        <f t="shared" si="1"/>
        <v>-3.1313912998941235E-2</v>
      </c>
      <c r="T24">
        <v>0</v>
      </c>
      <c r="V24" s="4">
        <f>COUNTIF(I4:I190, "=0")</f>
        <v>1</v>
      </c>
      <c r="X24" s="4">
        <f>COUNTIF(J4:J190, "=0")</f>
        <v>1</v>
      </c>
    </row>
    <row r="25" spans="2:24" x14ac:dyDescent="0.25">
      <c r="B25" t="str">
        <f>Levels!M25</f>
        <v>Ashgill</v>
      </c>
      <c r="C25" s="27">
        <f>ROUND(Levels!O25, 1)</f>
        <v>59.2</v>
      </c>
      <c r="D25" s="27">
        <f>ROUND(Levels!Q25, 1)</f>
        <v>60</v>
      </c>
      <c r="E25" s="27">
        <f>ROUND(Levels!P25, 1)</f>
        <v>55.6</v>
      </c>
      <c r="F25" s="27">
        <f>ROUND(Levels!R25,1)</f>
        <v>56.3</v>
      </c>
      <c r="G25" s="5">
        <f t="shared" si="2"/>
        <v>-3.6</v>
      </c>
      <c r="H25" s="26" t="str">
        <f t="shared" si="3"/>
        <v>-</v>
      </c>
      <c r="I25" s="5">
        <f t="shared" si="4"/>
        <v>0.8</v>
      </c>
      <c r="J25" s="5">
        <f t="shared" si="5"/>
        <v>0.7</v>
      </c>
      <c r="K25" s="5" t="str">
        <f t="shared" si="9"/>
        <v>Negligible</v>
      </c>
      <c r="L25" s="5">
        <f t="shared" si="6"/>
        <v>-2.9</v>
      </c>
      <c r="M25" s="5">
        <f t="shared" si="7"/>
        <v>-2.6</v>
      </c>
      <c r="N25" s="20" t="str">
        <f t="shared" si="8"/>
        <v>-</v>
      </c>
      <c r="O25" s="30">
        <f t="shared" si="0"/>
        <v>1.0642987048826366E-2</v>
      </c>
      <c r="P25" s="30">
        <f t="shared" si="1"/>
        <v>-3.2591185974002262E-2</v>
      </c>
      <c r="T25" s="13" t="s">
        <v>26</v>
      </c>
      <c r="V25" s="20">
        <f>countValueBtwX_Y(I4:I190, -3, -0.09)</f>
        <v>4</v>
      </c>
      <c r="X25" s="20">
        <f>countValueBtwX_Y(J4:J190, -3, -0.09)</f>
        <v>4</v>
      </c>
    </row>
    <row r="26" spans="2:24" x14ac:dyDescent="0.25">
      <c r="B26" t="str">
        <f>Levels!M26</f>
        <v>My Dene</v>
      </c>
      <c r="C26" s="27">
        <f>ROUND(Levels!O26, 1)</f>
        <v>58.6</v>
      </c>
      <c r="D26" s="27">
        <f>ROUND(Levels!Q26, 1)</f>
        <v>59.4</v>
      </c>
      <c r="E26" s="27">
        <f>ROUND(Levels!P26, 1)</f>
        <v>55.3</v>
      </c>
      <c r="F26" s="27">
        <f>ROUND(Levels!R26,1)</f>
        <v>56.1</v>
      </c>
      <c r="G26" s="5">
        <f t="shared" si="2"/>
        <v>-3.3</v>
      </c>
      <c r="H26" s="26" t="str">
        <f t="shared" si="3"/>
        <v>-</v>
      </c>
      <c r="I26" s="5">
        <f t="shared" si="4"/>
        <v>0.8</v>
      </c>
      <c r="J26" s="5">
        <f t="shared" si="5"/>
        <v>0.7</v>
      </c>
      <c r="K26" s="5" t="str">
        <f t="shared" si="9"/>
        <v>Negligible</v>
      </c>
      <c r="L26" s="5">
        <f t="shared" si="6"/>
        <v>-2.5</v>
      </c>
      <c r="M26" s="5">
        <f t="shared" si="7"/>
        <v>-2.2999999999999998</v>
      </c>
      <c r="N26" s="20" t="str">
        <f t="shared" si="8"/>
        <v>-</v>
      </c>
      <c r="O26" s="30">
        <f t="shared" si="0"/>
        <v>1.0080816057891503E-2</v>
      </c>
      <c r="P26" s="30">
        <f t="shared" si="1"/>
        <v>-2.7029751763498838E-2</v>
      </c>
      <c r="T26" t="s">
        <v>27</v>
      </c>
      <c r="V26" s="20">
        <f>countValueBtwX_Y(I4:I190, -5, -2.9)</f>
        <v>0</v>
      </c>
      <c r="X26" s="20">
        <f>countValueBtwX_Y(J4:J190, -5, -2.9)</f>
        <v>0</v>
      </c>
    </row>
    <row r="27" spans="2:24" x14ac:dyDescent="0.25">
      <c r="B27" t="str">
        <f>Levels!M27</f>
        <v>Belmont</v>
      </c>
      <c r="C27" s="27">
        <f>ROUND(Levels!O27, 1)</f>
        <v>63.4</v>
      </c>
      <c r="D27" s="27">
        <f>ROUND(Levels!Q27, 1)</f>
        <v>64.400000000000006</v>
      </c>
      <c r="E27" s="27">
        <f>ROUND(Levels!P27, 1)</f>
        <v>58</v>
      </c>
      <c r="F27" s="27">
        <f>ROUND(Levels!R27,1)</f>
        <v>58.8</v>
      </c>
      <c r="G27" s="5">
        <f t="shared" si="2"/>
        <v>-5.4</v>
      </c>
      <c r="H27" s="26" t="str">
        <f t="shared" si="3"/>
        <v>-</v>
      </c>
      <c r="I27" s="5">
        <f t="shared" si="4"/>
        <v>1</v>
      </c>
      <c r="J27" s="5">
        <f t="shared" si="5"/>
        <v>0.9</v>
      </c>
      <c r="K27" s="5" t="str">
        <f t="shared" si="9"/>
        <v>Negligible</v>
      </c>
      <c r="L27" s="5">
        <f t="shared" si="6"/>
        <v>-4.5999999999999996</v>
      </c>
      <c r="M27" s="5">
        <f t="shared" si="7"/>
        <v>-4.0999999999999996</v>
      </c>
      <c r="N27" s="20" t="str">
        <f t="shared" si="8"/>
        <v>-</v>
      </c>
      <c r="O27" s="30">
        <f t="shared" si="0"/>
        <v>1.8904774482702141E-2</v>
      </c>
      <c r="P27" s="30">
        <f t="shared" si="1"/>
        <v>-6.9932798759864065E-2</v>
      </c>
      <c r="T27" t="s">
        <v>28</v>
      </c>
      <c r="V27" s="20">
        <f>countValueBtwX_Y(I4:I190, -10, -4.9)</f>
        <v>0</v>
      </c>
      <c r="X27" s="20">
        <f>countValueBtwX_Y(J4:J190, -10, -4.9)</f>
        <v>0</v>
      </c>
    </row>
    <row r="28" spans="2:24" x14ac:dyDescent="0.25">
      <c r="B28" t="str">
        <f>Levels!M28</f>
        <v>Hillcrest Grove 2</v>
      </c>
      <c r="C28" s="27">
        <f>ROUND(Levels!O28, 1)</f>
        <v>64.400000000000006</v>
      </c>
      <c r="D28" s="27">
        <f>ROUND(Levels!Q28, 1)</f>
        <v>64.8</v>
      </c>
      <c r="E28" s="27">
        <f>ROUND(Levels!P28, 1)</f>
        <v>64.3</v>
      </c>
      <c r="F28" s="27">
        <f>ROUND(Levels!R28,1)</f>
        <v>65</v>
      </c>
      <c r="G28" s="5">
        <f t="shared" si="2"/>
        <v>-0.1</v>
      </c>
      <c r="H28" s="26" t="str">
        <f t="shared" si="3"/>
        <v>-</v>
      </c>
      <c r="I28" s="5">
        <f t="shared" si="4"/>
        <v>0.4</v>
      </c>
      <c r="J28" s="5">
        <f t="shared" si="5"/>
        <v>0.4</v>
      </c>
      <c r="K28" s="5" t="str">
        <f t="shared" si="9"/>
        <v>Negligible</v>
      </c>
      <c r="L28" s="5">
        <f t="shared" si="6"/>
        <v>0.6</v>
      </c>
      <c r="M28" s="5">
        <f t="shared" si="7"/>
        <v>0.5</v>
      </c>
      <c r="N28" s="20" t="str">
        <f t="shared" si="8"/>
        <v>Negligible</v>
      </c>
      <c r="O28" s="30">
        <f t="shared" si="0"/>
        <v>7.9490045935726172E-3</v>
      </c>
      <c r="P28" s="30">
        <f t="shared" si="1"/>
        <v>1.2006634957411971E-2</v>
      </c>
      <c r="T28" t="s">
        <v>29</v>
      </c>
      <c r="V28" s="20">
        <f>COUNTIF(I4:I190, "&lt;=-10")</f>
        <v>0</v>
      </c>
      <c r="W28" s="1"/>
      <c r="X28" s="20">
        <f>COUNTIF(J4:J190, "&lt;=-10")</f>
        <v>0</v>
      </c>
    </row>
    <row r="29" spans="2:24" x14ac:dyDescent="0.25">
      <c r="B29" t="str">
        <f>Levels!M29</f>
        <v>Hillcrest Grove 10</v>
      </c>
      <c r="C29" s="27">
        <f>ROUND(Levels!O29, 1)</f>
        <v>61.5</v>
      </c>
      <c r="D29" s="27">
        <f>ROUND(Levels!Q29, 1)</f>
        <v>62</v>
      </c>
      <c r="E29" s="27">
        <f>ROUND(Levels!P29, 1)</f>
        <v>61.5</v>
      </c>
      <c r="F29" s="27">
        <f>ROUND(Levels!R29,1)</f>
        <v>62.2</v>
      </c>
      <c r="G29" s="5">
        <f t="shared" si="2"/>
        <v>0</v>
      </c>
      <c r="H29" s="26" t="str">
        <f t="shared" si="3"/>
        <v>No change</v>
      </c>
      <c r="I29" s="5">
        <f t="shared" si="4"/>
        <v>0.5</v>
      </c>
      <c r="J29" s="5">
        <f t="shared" si="5"/>
        <v>0.5</v>
      </c>
      <c r="K29" s="5" t="str">
        <f t="shared" si="9"/>
        <v>Negligible</v>
      </c>
      <c r="L29" s="5">
        <f t="shared" si="6"/>
        <v>0.7</v>
      </c>
      <c r="M29" s="5">
        <f t="shared" si="7"/>
        <v>0.6</v>
      </c>
      <c r="N29" s="20" t="str">
        <f t="shared" si="8"/>
        <v>Negligible</v>
      </c>
      <c r="O29" s="30">
        <f t="shared" si="0"/>
        <v>7.9997974971613428E-3</v>
      </c>
      <c r="P29" s="30">
        <f t="shared" si="1"/>
        <v>1.1291993001894401E-2</v>
      </c>
    </row>
    <row r="30" spans="2:24" x14ac:dyDescent="0.25">
      <c r="B30" t="str">
        <f>Levels!M30</f>
        <v>Floreat</v>
      </c>
      <c r="C30" s="27">
        <f>ROUND(Levels!O30, 1)</f>
        <v>66</v>
      </c>
      <c r="D30" s="27">
        <f>ROUND(Levels!Q30, 1)</f>
        <v>66.400000000000006</v>
      </c>
      <c r="E30" s="27">
        <f>ROUND(Levels!P30, 1)</f>
        <v>65.599999999999994</v>
      </c>
      <c r="F30" s="27">
        <f>ROUND(Levels!R30,1)</f>
        <v>66.3</v>
      </c>
      <c r="G30" s="5">
        <f t="shared" si="2"/>
        <v>-0.4</v>
      </c>
      <c r="H30" s="26" t="str">
        <f t="shared" si="3"/>
        <v>-</v>
      </c>
      <c r="I30" s="5">
        <f t="shared" si="4"/>
        <v>0.4</v>
      </c>
      <c r="J30" s="5">
        <f t="shared" si="5"/>
        <v>0.4</v>
      </c>
      <c r="K30" s="5" t="str">
        <f t="shared" si="9"/>
        <v>Negligible</v>
      </c>
      <c r="L30" s="5">
        <f t="shared" si="6"/>
        <v>0.3</v>
      </c>
      <c r="M30" s="5">
        <f t="shared" si="7"/>
        <v>0.3</v>
      </c>
      <c r="N30" s="20" t="str">
        <f t="shared" si="8"/>
        <v>Negligible</v>
      </c>
      <c r="O30" s="30">
        <f t="shared" si="0"/>
        <v>8.8309296290507155E-3</v>
      </c>
      <c r="P30" s="30">
        <f t="shared" si="1"/>
        <v>6.6027934853022663E-3</v>
      </c>
    </row>
    <row r="31" spans="2:24" x14ac:dyDescent="0.25">
      <c r="B31" t="str">
        <f>Levels!M31</f>
        <v>Domick</v>
      </c>
      <c r="C31" s="27">
        <f>ROUND(Levels!O31, 1)</f>
        <v>66</v>
      </c>
      <c r="D31" s="27">
        <f>ROUND(Levels!Q31, 1)</f>
        <v>66.400000000000006</v>
      </c>
      <c r="E31" s="27">
        <f>ROUND(Levels!P31, 1)</f>
        <v>65.599999999999994</v>
      </c>
      <c r="F31" s="27">
        <f>ROUND(Levels!R31,1)</f>
        <v>66.3</v>
      </c>
      <c r="G31" s="5">
        <f t="shared" si="2"/>
        <v>-0.4</v>
      </c>
      <c r="H31" s="26" t="str">
        <f t="shared" si="3"/>
        <v>-</v>
      </c>
      <c r="I31" s="5">
        <f t="shared" si="4"/>
        <v>0.4</v>
      </c>
      <c r="J31" s="5">
        <f t="shared" si="5"/>
        <v>0.4</v>
      </c>
      <c r="K31" s="5" t="str">
        <f t="shared" si="9"/>
        <v>Negligible</v>
      </c>
      <c r="L31" s="5">
        <f t="shared" si="6"/>
        <v>0.3</v>
      </c>
      <c r="M31" s="5">
        <f t="shared" si="7"/>
        <v>0.3</v>
      </c>
      <c r="N31" s="20" t="str">
        <f t="shared" si="8"/>
        <v>Negligible</v>
      </c>
      <c r="O31" s="30">
        <f t="shared" si="0"/>
        <v>8.8309296290507155E-3</v>
      </c>
      <c r="P31" s="30">
        <f t="shared" si="1"/>
        <v>6.6027934853022663E-3</v>
      </c>
      <c r="T31" s="40" t="s">
        <v>226</v>
      </c>
      <c r="U31" s="40"/>
      <c r="V31" s="41" t="s">
        <v>15</v>
      </c>
      <c r="W31" s="41"/>
      <c r="X31" s="40" t="s">
        <v>31</v>
      </c>
    </row>
    <row r="32" spans="2:24" s="24" customFormat="1" ht="15.75" thickBot="1" x14ac:dyDescent="0.3">
      <c r="B32" s="24" t="str">
        <f>Levels!M32</f>
        <v>St Peter's Primary School</v>
      </c>
      <c r="C32" s="33">
        <f>ROUND(Levels!O32, 1)</f>
        <v>65.900000000000006</v>
      </c>
      <c r="D32" s="33">
        <f>ROUND(Levels!Q32, 1)</f>
        <v>66.5</v>
      </c>
      <c r="E32" s="33">
        <f>ROUND(Levels!P32, 1)</f>
        <v>65.400000000000006</v>
      </c>
      <c r="F32" s="33">
        <f>ROUND(Levels!R32,1)</f>
        <v>66.099999999999994</v>
      </c>
      <c r="G32" s="25">
        <f t="shared" si="2"/>
        <v>-0.5</v>
      </c>
      <c r="H32" s="34" t="str">
        <f t="shared" si="3"/>
        <v>-</v>
      </c>
      <c r="I32" s="25">
        <f t="shared" si="4"/>
        <v>0.6</v>
      </c>
      <c r="J32" s="25">
        <f t="shared" si="5"/>
        <v>0.5</v>
      </c>
      <c r="K32" s="25" t="str">
        <f t="shared" si="9"/>
        <v>Negligible</v>
      </c>
      <c r="L32" s="25">
        <f t="shared" si="6"/>
        <v>0.2</v>
      </c>
      <c r="M32" s="25">
        <f t="shared" si="7"/>
        <v>0.2</v>
      </c>
      <c r="N32" s="34" t="str">
        <f t="shared" si="8"/>
        <v>Negligible</v>
      </c>
      <c r="O32" s="35">
        <f t="shared" si="0"/>
        <v>1.3246229254042008E-2</v>
      </c>
      <c r="P32" s="35">
        <f t="shared" si="1"/>
        <v>4.3609156474954669E-3</v>
      </c>
      <c r="T32" s="42"/>
      <c r="U32" s="42"/>
      <c r="V32" s="42" t="s">
        <v>16</v>
      </c>
      <c r="W32" s="42" t="s">
        <v>17</v>
      </c>
      <c r="X32" s="42" t="s">
        <v>16</v>
      </c>
    </row>
    <row r="33" spans="2:24" x14ac:dyDescent="0.25">
      <c r="B33" t="str">
        <f>Levels!M33</f>
        <v>Bareen</v>
      </c>
      <c r="C33" s="27">
        <f>ROUND(Levels!O33, 1)</f>
        <v>65.3</v>
      </c>
      <c r="D33" s="27">
        <f>ROUND(Levels!Q33, 1)</f>
        <v>65.900000000000006</v>
      </c>
      <c r="E33" s="27">
        <f>ROUND(Levels!P33, 1)</f>
        <v>64.400000000000006</v>
      </c>
      <c r="F33" s="27">
        <f>ROUND(Levels!R33,1)</f>
        <v>65.2</v>
      </c>
      <c r="G33" s="5">
        <f t="shared" si="2"/>
        <v>-0.9</v>
      </c>
      <c r="H33" s="26" t="str">
        <f t="shared" si="3"/>
        <v>-</v>
      </c>
      <c r="I33" s="5">
        <f t="shared" si="4"/>
        <v>0.6</v>
      </c>
      <c r="J33" s="5">
        <f t="shared" si="5"/>
        <v>0.5</v>
      </c>
      <c r="K33" s="5" t="str">
        <f t="shared" si="9"/>
        <v>Negligible</v>
      </c>
      <c r="L33" s="5">
        <f t="shared" si="6"/>
        <v>-0.1</v>
      </c>
      <c r="M33" s="5">
        <f t="shared" si="7"/>
        <v>-0.1</v>
      </c>
      <c r="N33" s="20" t="str">
        <f t="shared" si="8"/>
        <v>-</v>
      </c>
      <c r="O33" s="30">
        <f t="shared" si="0"/>
        <v>1.2753169780290952E-2</v>
      </c>
      <c r="P33" s="30">
        <f t="shared" si="1"/>
        <v>-2.0772569624456783E-3</v>
      </c>
      <c r="T33" s="13" t="s">
        <v>26</v>
      </c>
      <c r="U33" s="13" t="s">
        <v>19</v>
      </c>
      <c r="V33" s="22">
        <f>COUNTIF(L4:L190, "&gt;=0.1")-2</f>
        <v>106</v>
      </c>
      <c r="W33" s="20">
        <v>1</v>
      </c>
      <c r="X33" s="22">
        <f>COUNTIF(M4:M190, "&gt;=0.1")-2</f>
        <v>106</v>
      </c>
    </row>
    <row r="34" spans="2:24" x14ac:dyDescent="0.25">
      <c r="B34" t="str">
        <f>Levels!M34</f>
        <v>Gerrans</v>
      </c>
      <c r="C34" s="27">
        <f>ROUND(Levels!O34, 1)</f>
        <v>65.2</v>
      </c>
      <c r="D34" s="27">
        <f>ROUND(Levels!Q34, 1)</f>
        <v>65.8</v>
      </c>
      <c r="E34" s="27">
        <f>ROUND(Levels!P34, 1)</f>
        <v>64.2</v>
      </c>
      <c r="F34" s="27">
        <f>ROUND(Levels!R34,1)</f>
        <v>65</v>
      </c>
      <c r="G34" s="5">
        <f t="shared" si="2"/>
        <v>-1</v>
      </c>
      <c r="H34" s="26" t="str">
        <f t="shared" si="3"/>
        <v>-</v>
      </c>
      <c r="I34" s="5">
        <f t="shared" si="4"/>
        <v>0.6</v>
      </c>
      <c r="J34" s="5">
        <f t="shared" si="5"/>
        <v>0.5</v>
      </c>
      <c r="K34" s="5" t="str">
        <f t="shared" si="9"/>
        <v>Negligible</v>
      </c>
      <c r="L34" s="5">
        <f t="shared" si="6"/>
        <v>-0.2</v>
      </c>
      <c r="M34" s="5">
        <f t="shared" si="7"/>
        <v>-0.2</v>
      </c>
      <c r="N34" s="20" t="str">
        <f t="shared" si="8"/>
        <v>-</v>
      </c>
      <c r="O34" s="30">
        <f t="shared" si="0"/>
        <v>1.2670509546116981E-2</v>
      </c>
      <c r="P34" s="30">
        <f t="shared" si="1"/>
        <v>-4.1130148312162607E-3</v>
      </c>
      <c r="T34" t="s">
        <v>27</v>
      </c>
      <c r="U34" t="s">
        <v>21</v>
      </c>
      <c r="V34" s="4">
        <f>countValueBtwX_Y(L4:L190, 2.9, 5)</f>
        <v>0</v>
      </c>
      <c r="W34" s="20"/>
      <c r="X34" s="4">
        <f>countValueBtwX_Y(M4:M190, 2.9, 5)</f>
        <v>0</v>
      </c>
    </row>
    <row r="35" spans="2:24" x14ac:dyDescent="0.25">
      <c r="B35" t="str">
        <f>Levels!M35</f>
        <v>Green Ingle</v>
      </c>
      <c r="C35" s="27">
        <f>ROUND(Levels!O35, 1)</f>
        <v>65</v>
      </c>
      <c r="D35" s="27">
        <f>ROUND(Levels!Q35, 1)</f>
        <v>65.7</v>
      </c>
      <c r="E35" s="27">
        <f>ROUND(Levels!P35, 1)</f>
        <v>64</v>
      </c>
      <c r="F35" s="27">
        <f>ROUND(Levels!R35,1)</f>
        <v>64.8</v>
      </c>
      <c r="G35" s="5">
        <f t="shared" si="2"/>
        <v>-1</v>
      </c>
      <c r="H35" s="26" t="str">
        <f t="shared" si="3"/>
        <v>-</v>
      </c>
      <c r="I35" s="5">
        <f t="shared" si="4"/>
        <v>0.7</v>
      </c>
      <c r="J35" s="5">
        <f t="shared" si="5"/>
        <v>0.6</v>
      </c>
      <c r="K35" s="5" t="str">
        <f t="shared" si="9"/>
        <v>Negligible</v>
      </c>
      <c r="L35" s="5">
        <f t="shared" si="6"/>
        <v>-0.2</v>
      </c>
      <c r="M35" s="5">
        <f t="shared" si="7"/>
        <v>-0.2</v>
      </c>
      <c r="N35" s="20" t="str">
        <f t="shared" si="8"/>
        <v>-</v>
      </c>
      <c r="O35" s="30">
        <f t="shared" si="0"/>
        <v>1.4637334862752566E-2</v>
      </c>
      <c r="P35" s="30">
        <f t="shared" si="1"/>
        <v>-4.057630363839354E-3</v>
      </c>
      <c r="T35" t="s">
        <v>28</v>
      </c>
      <c r="U35" t="s">
        <v>23</v>
      </c>
      <c r="V35" s="4">
        <v>0</v>
      </c>
      <c r="W35" s="20"/>
      <c r="X35" s="4">
        <v>0</v>
      </c>
    </row>
    <row r="36" spans="2:24" x14ac:dyDescent="0.25">
      <c r="B36" t="str">
        <f>Levels!M36</f>
        <v>Samarkand</v>
      </c>
      <c r="C36" s="27">
        <f>ROUND(Levels!O36, 1)</f>
        <v>65.099999999999994</v>
      </c>
      <c r="D36" s="27">
        <f>ROUND(Levels!Q36, 1)</f>
        <v>65.8</v>
      </c>
      <c r="E36" s="27">
        <f>ROUND(Levels!P36, 1)</f>
        <v>64.099999999999994</v>
      </c>
      <c r="F36" s="27">
        <f>ROUND(Levels!R36,1)</f>
        <v>64.8</v>
      </c>
      <c r="G36" s="5">
        <f t="shared" si="2"/>
        <v>-1</v>
      </c>
      <c r="H36" s="26" t="str">
        <f t="shared" si="3"/>
        <v>-</v>
      </c>
      <c r="I36" s="5">
        <f t="shared" si="4"/>
        <v>0.7</v>
      </c>
      <c r="J36" s="5">
        <f t="shared" si="5"/>
        <v>0.6</v>
      </c>
      <c r="K36" s="5" t="str">
        <f t="shared" si="9"/>
        <v>Negligible</v>
      </c>
      <c r="L36" s="5">
        <f t="shared" si="6"/>
        <v>-0.3</v>
      </c>
      <c r="M36" s="5">
        <f t="shared" si="7"/>
        <v>-0.3</v>
      </c>
      <c r="N36" s="20" t="str">
        <f t="shared" si="8"/>
        <v>-</v>
      </c>
      <c r="O36" s="30">
        <f t="shared" ref="O36:O67" si="10">NuisanceByL10(D36) - NuisanceByL10(C36)</f>
        <v>1.4733936619497512E-2</v>
      </c>
      <c r="P36" s="30">
        <f t="shared" ref="P36:P67" si="11">MAX(NuisanceByL10(F36)-NuisanceByL10(C36), NuisanceChangeByL10Change(G36))</f>
        <v>-6.1072181216750843E-3</v>
      </c>
      <c r="T36" t="s">
        <v>29</v>
      </c>
      <c r="U36" t="s">
        <v>25</v>
      </c>
      <c r="V36" s="4">
        <v>0</v>
      </c>
      <c r="W36" s="20"/>
      <c r="X36" s="4">
        <v>0</v>
      </c>
    </row>
    <row r="37" spans="2:24" x14ac:dyDescent="0.25">
      <c r="B37" t="str">
        <f>Levels!M37</f>
        <v>Lamorna</v>
      </c>
      <c r="C37" s="27">
        <f>ROUND(Levels!O37, 1)</f>
        <v>64.900000000000006</v>
      </c>
      <c r="D37" s="27">
        <f>ROUND(Levels!Q37, 1)</f>
        <v>65.7</v>
      </c>
      <c r="E37" s="27">
        <f>ROUND(Levels!P37, 1)</f>
        <v>63.9</v>
      </c>
      <c r="F37" s="27">
        <f>ROUND(Levels!R37,1)</f>
        <v>64.599999999999994</v>
      </c>
      <c r="G37" s="5">
        <f t="shared" si="2"/>
        <v>-1</v>
      </c>
      <c r="H37" s="26" t="str">
        <f t="shared" si="3"/>
        <v>-</v>
      </c>
      <c r="I37" s="5">
        <f t="shared" si="4"/>
        <v>0.8</v>
      </c>
      <c r="J37" s="5">
        <f t="shared" si="5"/>
        <v>0.7</v>
      </c>
      <c r="K37" s="5" t="str">
        <f t="shared" si="9"/>
        <v>Negligible</v>
      </c>
      <c r="L37" s="5">
        <f t="shared" si="6"/>
        <v>-0.3</v>
      </c>
      <c r="M37" s="5">
        <f t="shared" si="7"/>
        <v>-0.3</v>
      </c>
      <c r="N37" s="20" t="str">
        <f t="shared" si="8"/>
        <v>-</v>
      </c>
      <c r="O37" s="30">
        <f t="shared" si="10"/>
        <v>1.6673075984005387E-2</v>
      </c>
      <c r="P37" s="30">
        <f t="shared" si="11"/>
        <v>-6.0241013568559931E-3</v>
      </c>
      <c r="T37">
        <v>0</v>
      </c>
      <c r="V37" s="4">
        <f>COUNTIF(L4:L190, "=0")</f>
        <v>3</v>
      </c>
      <c r="W37" s="16"/>
      <c r="X37" s="4">
        <f>COUNTIF(M4:M190, "=0")</f>
        <v>3</v>
      </c>
    </row>
    <row r="38" spans="2:24" x14ac:dyDescent="0.25">
      <c r="B38" t="str">
        <f>Levels!M38</f>
        <v>the Cedars</v>
      </c>
      <c r="C38" s="27">
        <f>ROUND(Levels!O38, 1)</f>
        <v>64.900000000000006</v>
      </c>
      <c r="D38" s="27">
        <f>ROUND(Levels!Q38, 1)</f>
        <v>65.599999999999994</v>
      </c>
      <c r="E38" s="27">
        <f>ROUND(Levels!P38, 1)</f>
        <v>63.8</v>
      </c>
      <c r="F38" s="27">
        <f>ROUND(Levels!R38,1)</f>
        <v>64.599999999999994</v>
      </c>
      <c r="G38" s="5">
        <f t="shared" si="2"/>
        <v>-1.1000000000000001</v>
      </c>
      <c r="H38" s="26" t="str">
        <f t="shared" si="3"/>
        <v>-</v>
      </c>
      <c r="I38" s="5">
        <f t="shared" si="4"/>
        <v>0.7</v>
      </c>
      <c r="J38" s="5">
        <f t="shared" si="5"/>
        <v>0.6</v>
      </c>
      <c r="K38" s="5" t="str">
        <f t="shared" si="9"/>
        <v>Negligible</v>
      </c>
      <c r="L38" s="5">
        <f t="shared" si="6"/>
        <v>-0.3</v>
      </c>
      <c r="M38" s="5">
        <f t="shared" si="7"/>
        <v>-0.3</v>
      </c>
      <c r="N38" s="20" t="str">
        <f t="shared" si="8"/>
        <v>-</v>
      </c>
      <c r="O38" s="30">
        <f t="shared" si="10"/>
        <v>1.45406367445792E-2</v>
      </c>
      <c r="P38" s="30">
        <f t="shared" si="11"/>
        <v>-6.0241013568559931E-3</v>
      </c>
      <c r="T38" s="13" t="s">
        <v>26</v>
      </c>
      <c r="V38" s="20">
        <f>countValueBtwX_Y(L4:L190, -3, -0.09)</f>
        <v>46</v>
      </c>
      <c r="W38" s="16">
        <v>1</v>
      </c>
      <c r="X38" s="20">
        <f>countValueBtwX_Y(M4:M190, -3, -0.09)</f>
        <v>62</v>
      </c>
    </row>
    <row r="39" spans="2:24" x14ac:dyDescent="0.25">
      <c r="B39" t="str">
        <f>Levels!M39</f>
        <v>North Lane 16</v>
      </c>
      <c r="C39" s="27">
        <f>ROUND(Levels!O39, 1)</f>
        <v>64.900000000000006</v>
      </c>
      <c r="D39" s="27">
        <f>ROUND(Levels!Q39, 1)</f>
        <v>65.7</v>
      </c>
      <c r="E39" s="27">
        <f>ROUND(Levels!P39, 1)</f>
        <v>63.7</v>
      </c>
      <c r="F39" s="27">
        <f>ROUND(Levels!R39,1)</f>
        <v>64.400000000000006</v>
      </c>
      <c r="G39" s="5">
        <f t="shared" si="2"/>
        <v>-1.2</v>
      </c>
      <c r="H39" s="26" t="str">
        <f t="shared" si="3"/>
        <v>-</v>
      </c>
      <c r="I39" s="5">
        <f t="shared" si="4"/>
        <v>0.8</v>
      </c>
      <c r="J39" s="5">
        <f t="shared" si="5"/>
        <v>0.7</v>
      </c>
      <c r="K39" s="5" t="str">
        <f t="shared" si="9"/>
        <v>Negligible</v>
      </c>
      <c r="L39" s="5">
        <f t="shared" si="6"/>
        <v>-0.5</v>
      </c>
      <c r="M39" s="5">
        <f t="shared" si="7"/>
        <v>-0.5</v>
      </c>
      <c r="N39" s="20" t="str">
        <f t="shared" si="8"/>
        <v>-</v>
      </c>
      <c r="O39" s="30">
        <f t="shared" si="10"/>
        <v>1.6673075984005387E-2</v>
      </c>
      <c r="P39" s="30">
        <f t="shared" si="11"/>
        <v>-9.9708938361591504E-3</v>
      </c>
      <c r="T39" t="s">
        <v>27</v>
      </c>
      <c r="V39" s="20">
        <f>countValueBtwX_Y(L4:L190, -5, -2.9)</f>
        <v>27</v>
      </c>
      <c r="W39" s="16"/>
      <c r="X39" s="20">
        <f>countValueBtwX_Y(M4:M190, -5, -2.9)</f>
        <v>11</v>
      </c>
    </row>
    <row r="40" spans="2:24" x14ac:dyDescent="0.25">
      <c r="B40" t="str">
        <f>Levels!M40</f>
        <v>Pringles</v>
      </c>
      <c r="C40" s="27">
        <f>ROUND(Levels!O40, 1)</f>
        <v>63.3</v>
      </c>
      <c r="D40" s="27">
        <f>ROUND(Levels!Q40, 1)</f>
        <v>63.9</v>
      </c>
      <c r="E40" s="27">
        <f>ROUND(Levels!P40, 1)</f>
        <v>62.6</v>
      </c>
      <c r="F40" s="27">
        <f>ROUND(Levels!R40,1)</f>
        <v>63.3</v>
      </c>
      <c r="G40" s="5">
        <f t="shared" si="2"/>
        <v>-0.7</v>
      </c>
      <c r="H40" s="26" t="str">
        <f t="shared" si="3"/>
        <v>-</v>
      </c>
      <c r="I40" s="5">
        <f t="shared" si="4"/>
        <v>0.6</v>
      </c>
      <c r="J40" s="5">
        <f t="shared" si="5"/>
        <v>0.5</v>
      </c>
      <c r="K40" s="5" t="str">
        <f t="shared" si="9"/>
        <v>Negligible</v>
      </c>
      <c r="L40" s="5">
        <f t="shared" si="6"/>
        <v>0</v>
      </c>
      <c r="M40" s="5">
        <f t="shared" si="7"/>
        <v>0</v>
      </c>
      <c r="N40" s="20" t="str">
        <f t="shared" si="8"/>
        <v>No change</v>
      </c>
      <c r="O40" s="30">
        <f t="shared" si="10"/>
        <v>1.1094792494375366E-2</v>
      </c>
      <c r="P40" s="30">
        <f t="shared" si="11"/>
        <v>0</v>
      </c>
      <c r="T40" t="s">
        <v>28</v>
      </c>
      <c r="V40" s="20">
        <f>countValueBtwX_Y(L4:L190, -10, -4.9)</f>
        <v>2</v>
      </c>
      <c r="W40" s="16"/>
      <c r="X40" s="20">
        <f>countValueBtwX_Y(M4:M190, -10, -4.9)</f>
        <v>3</v>
      </c>
    </row>
    <row r="41" spans="2:24" x14ac:dyDescent="0.25">
      <c r="B41" t="str">
        <f>Levels!M41</f>
        <v>Dewondell</v>
      </c>
      <c r="C41" s="27">
        <f>ROUND(Levels!O41, 1)</f>
        <v>64.2</v>
      </c>
      <c r="D41" s="27">
        <f>ROUND(Levels!Q41, 1)</f>
        <v>64.900000000000006</v>
      </c>
      <c r="E41" s="27">
        <f>ROUND(Levels!P41, 1)</f>
        <v>63.3</v>
      </c>
      <c r="F41" s="27">
        <f>ROUND(Levels!R41,1)</f>
        <v>64</v>
      </c>
      <c r="G41" s="5">
        <f t="shared" si="2"/>
        <v>-0.9</v>
      </c>
      <c r="H41" s="26" t="str">
        <f t="shared" si="3"/>
        <v>-</v>
      </c>
      <c r="I41" s="5">
        <f t="shared" si="4"/>
        <v>0.7</v>
      </c>
      <c r="J41" s="5">
        <f t="shared" si="5"/>
        <v>0.6</v>
      </c>
      <c r="K41" s="5" t="str">
        <f t="shared" si="9"/>
        <v>Negligible</v>
      </c>
      <c r="L41" s="5">
        <f t="shared" si="6"/>
        <v>-0.2</v>
      </c>
      <c r="M41" s="5">
        <f t="shared" si="7"/>
        <v>-0.2</v>
      </c>
      <c r="N41" s="20" t="str">
        <f t="shared" si="8"/>
        <v>-</v>
      </c>
      <c r="O41" s="30">
        <f t="shared" si="10"/>
        <v>1.386229680842857E-2</v>
      </c>
      <c r="P41" s="30">
        <f t="shared" si="11"/>
        <v>-3.8360742057878539E-3</v>
      </c>
      <c r="T41" t="s">
        <v>29</v>
      </c>
      <c r="V41" s="20">
        <f>COUNTIF(L4:L190, "&lt;=-10")</f>
        <v>1</v>
      </c>
      <c r="W41" s="23"/>
      <c r="X41" s="20">
        <f>COUNTIF(M4:M190, "&lt;=-10")</f>
        <v>0</v>
      </c>
    </row>
    <row r="42" spans="2:24" x14ac:dyDescent="0.25">
      <c r="B42" t="str">
        <f>Levels!M42</f>
        <v>North Lane 10</v>
      </c>
      <c r="C42" s="27">
        <f>ROUND(Levels!O42, 1)</f>
        <v>64.8</v>
      </c>
      <c r="D42" s="27">
        <f>ROUND(Levels!Q42, 1)</f>
        <v>65.5</v>
      </c>
      <c r="E42" s="27">
        <f>ROUND(Levels!P42, 1)</f>
        <v>63.8</v>
      </c>
      <c r="F42" s="27">
        <f>ROUND(Levels!R42,1)</f>
        <v>64.5</v>
      </c>
      <c r="G42" s="5">
        <f t="shared" si="2"/>
        <v>-1</v>
      </c>
      <c r="H42" s="26" t="str">
        <f t="shared" si="3"/>
        <v>-</v>
      </c>
      <c r="I42" s="5">
        <f t="shared" si="4"/>
        <v>0.7</v>
      </c>
      <c r="J42" s="5">
        <f t="shared" si="5"/>
        <v>0.6</v>
      </c>
      <c r="K42" s="5" t="str">
        <f t="shared" si="9"/>
        <v>Negligible</v>
      </c>
      <c r="L42" s="5">
        <f t="shared" si="6"/>
        <v>-0.3</v>
      </c>
      <c r="M42" s="5">
        <f t="shared" si="7"/>
        <v>-0.3</v>
      </c>
      <c r="N42" s="20" t="str">
        <f t="shared" si="8"/>
        <v>-</v>
      </c>
      <c r="O42" s="30">
        <f t="shared" si="10"/>
        <v>1.4443857360168094E-2</v>
      </c>
      <c r="P42" s="30">
        <f t="shared" si="11"/>
        <v>-5.9825346534125301E-3</v>
      </c>
      <c r="V42" s="1"/>
      <c r="W42" s="16"/>
    </row>
    <row r="43" spans="2:24" x14ac:dyDescent="0.25">
      <c r="B43" t="str">
        <f>Levels!M43</f>
        <v>North Lane 8</v>
      </c>
      <c r="C43" s="27">
        <f>ROUND(Levels!O43, 1)</f>
        <v>65.2</v>
      </c>
      <c r="D43" s="27">
        <f>ROUND(Levels!Q43, 1)</f>
        <v>66.099999999999994</v>
      </c>
      <c r="E43" s="27">
        <f>ROUND(Levels!P43, 1)</f>
        <v>63.6</v>
      </c>
      <c r="F43" s="27">
        <f>ROUND(Levels!R43,1)</f>
        <v>64.3</v>
      </c>
      <c r="G43" s="5">
        <f t="shared" si="2"/>
        <v>-1.6</v>
      </c>
      <c r="H43" s="26" t="str">
        <f t="shared" si="3"/>
        <v>-</v>
      </c>
      <c r="I43" s="5">
        <f t="shared" si="4"/>
        <v>0.9</v>
      </c>
      <c r="J43" s="5">
        <f t="shared" si="5"/>
        <v>0.8</v>
      </c>
      <c r="K43" s="5" t="str">
        <f t="shared" si="9"/>
        <v>Negligible</v>
      </c>
      <c r="L43" s="5">
        <f t="shared" si="6"/>
        <v>-0.9</v>
      </c>
      <c r="M43" s="5">
        <f t="shared" si="7"/>
        <v>-0.8</v>
      </c>
      <c r="N43" s="20" t="str">
        <f t="shared" si="8"/>
        <v>-</v>
      </c>
      <c r="O43" s="30">
        <f t="shared" si="10"/>
        <v>1.9191342390232097E-2</v>
      </c>
      <c r="P43" s="30">
        <f t="shared" si="11"/>
        <v>-1.8072271873679102E-2</v>
      </c>
      <c r="X43" s="1"/>
    </row>
    <row r="44" spans="2:24" x14ac:dyDescent="0.25">
      <c r="B44" t="str">
        <f>Levels!M44</f>
        <v>North Lane 2</v>
      </c>
      <c r="C44" s="27">
        <f>ROUND(Levels!O44, 1)</f>
        <v>64.2</v>
      </c>
      <c r="D44" s="27">
        <f>ROUND(Levels!Q44, 1)</f>
        <v>65</v>
      </c>
      <c r="E44" s="27">
        <f>ROUND(Levels!P44, 1)</f>
        <v>62.5</v>
      </c>
      <c r="F44" s="27">
        <f>ROUND(Levels!R44,1)</f>
        <v>63.2</v>
      </c>
      <c r="G44" s="5">
        <f t="shared" si="2"/>
        <v>-1.7</v>
      </c>
      <c r="H44" s="26" t="str">
        <f t="shared" si="3"/>
        <v>-</v>
      </c>
      <c r="I44" s="5">
        <f t="shared" si="4"/>
        <v>0.8</v>
      </c>
      <c r="J44" s="5">
        <f t="shared" si="5"/>
        <v>0.7</v>
      </c>
      <c r="K44" s="5" t="str">
        <f t="shared" si="9"/>
        <v>Negligible</v>
      </c>
      <c r="L44" s="5">
        <f t="shared" si="6"/>
        <v>-1</v>
      </c>
      <c r="M44" s="5">
        <f t="shared" si="7"/>
        <v>-0.9</v>
      </c>
      <c r="N44" s="20" t="str">
        <f t="shared" si="8"/>
        <v>-</v>
      </c>
      <c r="O44" s="30">
        <f t="shared" si="10"/>
        <v>1.5898037929681391E-2</v>
      </c>
      <c r="P44" s="30">
        <f t="shared" si="11"/>
        <v>-1.862931802442816E-2</v>
      </c>
      <c r="T44" s="12"/>
      <c r="U44" s="12"/>
      <c r="V44" s="12"/>
      <c r="W44" s="12"/>
    </row>
    <row r="45" spans="2:24" x14ac:dyDescent="0.25">
      <c r="B45" t="str">
        <f>Levels!M45</f>
        <v>Ashlea</v>
      </c>
      <c r="C45" s="27">
        <f>ROUND(Levels!O45, 1)</f>
        <v>64.8</v>
      </c>
      <c r="D45" s="27">
        <f>ROUND(Levels!Q45, 1)</f>
        <v>65.599999999999994</v>
      </c>
      <c r="E45" s="27">
        <f>ROUND(Levels!P45, 1)</f>
        <v>63.2</v>
      </c>
      <c r="F45" s="27">
        <f>ROUND(Levels!R45,1)</f>
        <v>63.9</v>
      </c>
      <c r="G45" s="5">
        <f t="shared" si="2"/>
        <v>-1.6</v>
      </c>
      <c r="H45" s="26" t="str">
        <f t="shared" si="3"/>
        <v>-</v>
      </c>
      <c r="I45" s="5">
        <f t="shared" si="4"/>
        <v>0.8</v>
      </c>
      <c r="J45" s="5">
        <f t="shared" si="5"/>
        <v>0.7</v>
      </c>
      <c r="K45" s="5" t="str">
        <f t="shared" si="9"/>
        <v>Negligible</v>
      </c>
      <c r="L45" s="5">
        <f t="shared" si="6"/>
        <v>-0.9</v>
      </c>
      <c r="M45" s="5">
        <f t="shared" si="7"/>
        <v>-0.8</v>
      </c>
      <c r="N45" s="20" t="str">
        <f t="shared" si="8"/>
        <v>-</v>
      </c>
      <c r="O45" s="30">
        <f t="shared" si="10"/>
        <v>1.6562525987165733E-2</v>
      </c>
      <c r="P45" s="30">
        <f t="shared" si="11"/>
        <v>-1.7573797714128675E-2</v>
      </c>
      <c r="T45" s="40"/>
      <c r="U45" s="40"/>
      <c r="V45" s="41" t="s">
        <v>239</v>
      </c>
      <c r="W45" s="41" t="s">
        <v>240</v>
      </c>
    </row>
    <row r="46" spans="2:24" ht="15.75" thickBot="1" x14ac:dyDescent="0.3">
      <c r="B46" t="str">
        <f>Levels!M46</f>
        <v>Veolan</v>
      </c>
      <c r="C46" s="27">
        <f>ROUND(Levels!O46, 1)</f>
        <v>64.5</v>
      </c>
      <c r="D46" s="27">
        <f>ROUND(Levels!Q46, 1)</f>
        <v>65.3</v>
      </c>
      <c r="E46" s="27">
        <f>ROUND(Levels!P46, 1)</f>
        <v>62.8</v>
      </c>
      <c r="F46" s="27">
        <f>ROUND(Levels!R46,1)</f>
        <v>63.6</v>
      </c>
      <c r="G46" s="5">
        <f t="shared" si="2"/>
        <v>-1.7</v>
      </c>
      <c r="H46" s="26" t="str">
        <f t="shared" si="3"/>
        <v>-</v>
      </c>
      <c r="I46" s="5">
        <f t="shared" si="4"/>
        <v>0.8</v>
      </c>
      <c r="J46" s="5">
        <f t="shared" si="5"/>
        <v>0.7</v>
      </c>
      <c r="K46" s="5" t="str">
        <f t="shared" si="9"/>
        <v>Negligible</v>
      </c>
      <c r="L46" s="5">
        <f t="shared" si="6"/>
        <v>-0.9</v>
      </c>
      <c r="M46" s="5">
        <f t="shared" si="7"/>
        <v>-0.8</v>
      </c>
      <c r="N46" s="20" t="str">
        <f t="shared" si="8"/>
        <v>-</v>
      </c>
      <c r="O46" s="30">
        <f t="shared" si="10"/>
        <v>1.6230436810913823E-2</v>
      </c>
      <c r="P46" s="30">
        <f t="shared" si="11"/>
        <v>-1.7200499750565285E-2</v>
      </c>
      <c r="T46" s="46" t="s">
        <v>238</v>
      </c>
      <c r="U46" s="46"/>
      <c r="V46" s="42" t="s">
        <v>16</v>
      </c>
      <c r="W46" s="42" t="s">
        <v>16</v>
      </c>
    </row>
    <row r="47" spans="2:24" x14ac:dyDescent="0.25">
      <c r="B47" t="str">
        <f>Levels!M47</f>
        <v>El Sub Sta 7</v>
      </c>
      <c r="C47" s="27">
        <f>ROUND(Levels!O47, 1)</f>
        <v>58.6</v>
      </c>
      <c r="D47" s="27">
        <f>ROUND(Levels!Q47, 1)</f>
        <v>59.2</v>
      </c>
      <c r="E47" s="27">
        <f>ROUND(Levels!P47, 1)</f>
        <v>58.2</v>
      </c>
      <c r="F47" s="27">
        <f>ROUND(Levels!R47,1)</f>
        <v>59</v>
      </c>
      <c r="G47" s="5">
        <f t="shared" si="2"/>
        <v>-0.4</v>
      </c>
      <c r="H47" s="26" t="str">
        <f t="shared" si="3"/>
        <v>-</v>
      </c>
      <c r="I47" s="5">
        <f t="shared" si="4"/>
        <v>0.6</v>
      </c>
      <c r="J47" s="5">
        <f t="shared" si="5"/>
        <v>0.5</v>
      </c>
      <c r="K47" s="5" t="str">
        <f t="shared" si="9"/>
        <v>Negligible</v>
      </c>
      <c r="L47" s="5">
        <f t="shared" si="6"/>
        <v>0.4</v>
      </c>
      <c r="M47" s="5">
        <f t="shared" si="7"/>
        <v>0.4</v>
      </c>
      <c r="N47" s="20" t="str">
        <f t="shared" si="8"/>
        <v>Negligible</v>
      </c>
      <c r="O47" s="30">
        <f t="shared" si="10"/>
        <v>7.4912602977675047E-3</v>
      </c>
      <c r="P47" s="30">
        <f t="shared" si="11"/>
        <v>4.9482958266460347E-3</v>
      </c>
      <c r="T47" s="47" t="s">
        <v>247</v>
      </c>
      <c r="U47" s="19" t="s">
        <v>241</v>
      </c>
      <c r="V47" s="22">
        <f>countValueBtwX_Y(O4:O190, 0, 0.1)-2</f>
        <v>180</v>
      </c>
      <c r="W47" s="22">
        <f>countValueBtwX_Y(P4:P190, 0, 0.11)</f>
        <v>105</v>
      </c>
    </row>
    <row r="48" spans="2:24" x14ac:dyDescent="0.25">
      <c r="B48" t="str">
        <f>Levels!M48</f>
        <v>Greelea 4</v>
      </c>
      <c r="C48" s="27">
        <f>ROUND(Levels!O48, 1)</f>
        <v>53</v>
      </c>
      <c r="D48" s="27">
        <f>ROUND(Levels!Q48, 1)</f>
        <v>53.6</v>
      </c>
      <c r="E48" s="27">
        <f>ROUND(Levels!P48, 1)</f>
        <v>52.9</v>
      </c>
      <c r="F48" s="27">
        <f>ROUND(Levels!R48,1)</f>
        <v>53.7</v>
      </c>
      <c r="G48" s="5">
        <f t="shared" si="2"/>
        <v>-0.1</v>
      </c>
      <c r="H48" s="26" t="str">
        <f t="shared" si="3"/>
        <v>-</v>
      </c>
      <c r="I48" s="5">
        <f t="shared" si="4"/>
        <v>0.6</v>
      </c>
      <c r="J48" s="5">
        <f t="shared" si="5"/>
        <v>0.5</v>
      </c>
      <c r="K48" s="5" t="str">
        <f t="shared" si="9"/>
        <v>Negligible</v>
      </c>
      <c r="L48" s="5">
        <f t="shared" si="6"/>
        <v>0.7</v>
      </c>
      <c r="M48" s="5">
        <f t="shared" si="7"/>
        <v>0.6</v>
      </c>
      <c r="N48" s="20" t="str">
        <f t="shared" si="8"/>
        <v>Negligible</v>
      </c>
      <c r="O48" s="30">
        <f t="shared" si="10"/>
        <v>4.308919199795827E-3</v>
      </c>
      <c r="P48" s="30">
        <f t="shared" si="11"/>
        <v>5.0536864615177146E-3</v>
      </c>
      <c r="T48" s="47"/>
      <c r="U48" s="21" t="s">
        <v>242</v>
      </c>
      <c r="V48" s="4"/>
      <c r="W48" s="22">
        <f>countValueBtwX_Y(P4:P190, 0.1, 0.2)</f>
        <v>3</v>
      </c>
    </row>
    <row r="49" spans="2:23" x14ac:dyDescent="0.25">
      <c r="B49" t="str">
        <f>Levels!M49</f>
        <v>Greenlea 1</v>
      </c>
      <c r="C49" s="27">
        <f>ROUND(Levels!O49, 1)</f>
        <v>60.9</v>
      </c>
      <c r="D49" s="27">
        <f>ROUND(Levels!Q49, 1)</f>
        <v>61.4</v>
      </c>
      <c r="E49" s="27">
        <f>ROUND(Levels!P49, 1)</f>
        <v>60.5</v>
      </c>
      <c r="F49" s="27">
        <f>ROUND(Levels!R49,1)</f>
        <v>61.2</v>
      </c>
      <c r="G49" s="5">
        <f t="shared" si="2"/>
        <v>-0.4</v>
      </c>
      <c r="H49" s="26" t="str">
        <f t="shared" si="3"/>
        <v>-</v>
      </c>
      <c r="I49" s="5">
        <f t="shared" si="4"/>
        <v>0.5</v>
      </c>
      <c r="J49" s="5">
        <f t="shared" si="5"/>
        <v>0.5</v>
      </c>
      <c r="K49" s="5" t="str">
        <f t="shared" si="9"/>
        <v>Negligible</v>
      </c>
      <c r="L49" s="5">
        <f t="shared" si="6"/>
        <v>0.3</v>
      </c>
      <c r="M49" s="5">
        <f t="shared" si="7"/>
        <v>0.3</v>
      </c>
      <c r="N49" s="20" t="str">
        <f t="shared" si="8"/>
        <v>Negligible</v>
      </c>
      <c r="O49" s="30">
        <f t="shared" si="10"/>
        <v>7.6107007907784407E-3</v>
      </c>
      <c r="P49" s="30">
        <f t="shared" si="11"/>
        <v>4.5279361844033361E-3</v>
      </c>
      <c r="T49" s="47"/>
      <c r="U49" s="21" t="s">
        <v>243</v>
      </c>
      <c r="V49" s="4"/>
      <c r="W49" s="22"/>
    </row>
    <row r="50" spans="2:23" x14ac:dyDescent="0.25">
      <c r="B50" t="str">
        <f>Levels!M50</f>
        <v>El Sub Sta 6</v>
      </c>
      <c r="C50" s="27">
        <f>ROUND(Levels!O50, 1)</f>
        <v>62</v>
      </c>
      <c r="D50" s="27">
        <f>ROUND(Levels!Q50, 1)</f>
        <v>62.6</v>
      </c>
      <c r="E50" s="27">
        <f>ROUND(Levels!P50, 1)</f>
        <v>61.8</v>
      </c>
      <c r="F50" s="27">
        <f>ROUND(Levels!R50,1)</f>
        <v>62.6</v>
      </c>
      <c r="G50" s="5">
        <f t="shared" si="2"/>
        <v>-0.2</v>
      </c>
      <c r="H50" s="26" t="str">
        <f t="shared" si="3"/>
        <v>-</v>
      </c>
      <c r="I50" s="5">
        <f t="shared" si="4"/>
        <v>0.6</v>
      </c>
      <c r="J50" s="5">
        <f t="shared" si="5"/>
        <v>0.5</v>
      </c>
      <c r="K50" s="5" t="str">
        <f t="shared" si="9"/>
        <v>Negligible</v>
      </c>
      <c r="L50" s="5">
        <f t="shared" si="6"/>
        <v>0.6</v>
      </c>
      <c r="M50" s="5">
        <f t="shared" si="7"/>
        <v>0.5</v>
      </c>
      <c r="N50" s="20" t="str">
        <f t="shared" si="8"/>
        <v>Negligible</v>
      </c>
      <c r="O50" s="30">
        <f t="shared" si="10"/>
        <v>1.0036631905516125E-2</v>
      </c>
      <c r="P50" s="30">
        <f t="shared" si="11"/>
        <v>1.0036631905516125E-2</v>
      </c>
      <c r="T50" s="47"/>
      <c r="U50" s="21" t="s">
        <v>244</v>
      </c>
      <c r="V50" s="4"/>
      <c r="W50" s="21"/>
    </row>
    <row r="51" spans="2:23" x14ac:dyDescent="0.25">
      <c r="B51" t="str">
        <f>Levels!M51</f>
        <v>Greenlea 5</v>
      </c>
      <c r="C51" s="27">
        <f>ROUND(Levels!O51, 1)</f>
        <v>63</v>
      </c>
      <c r="D51" s="27">
        <f>ROUND(Levels!Q51, 1)</f>
        <v>63.5</v>
      </c>
      <c r="E51" s="27">
        <f>ROUND(Levels!P51, 1)</f>
        <v>62.8</v>
      </c>
      <c r="F51" s="27">
        <f>ROUND(Levels!R51,1)</f>
        <v>63.6</v>
      </c>
      <c r="G51" s="5">
        <f t="shared" si="2"/>
        <v>-0.2</v>
      </c>
      <c r="H51" s="26" t="str">
        <f t="shared" si="3"/>
        <v>-</v>
      </c>
      <c r="I51" s="5">
        <f t="shared" si="4"/>
        <v>0.5</v>
      </c>
      <c r="J51" s="5">
        <f t="shared" si="5"/>
        <v>0.5</v>
      </c>
      <c r="K51" s="5" t="str">
        <f t="shared" si="9"/>
        <v>Negligible</v>
      </c>
      <c r="L51" s="5">
        <f t="shared" si="6"/>
        <v>0.6</v>
      </c>
      <c r="M51" s="5">
        <f t="shared" si="7"/>
        <v>0.5</v>
      </c>
      <c r="N51" s="20" t="str">
        <f t="shared" si="8"/>
        <v>Negligible</v>
      </c>
      <c r="O51" s="30">
        <f t="shared" si="10"/>
        <v>9.0058058064926283E-3</v>
      </c>
      <c r="P51" s="30">
        <f t="shared" si="11"/>
        <v>1.0848039401743531E-2</v>
      </c>
      <c r="T51" s="47"/>
      <c r="U51" s="21" t="s">
        <v>245</v>
      </c>
      <c r="V51" s="4"/>
    </row>
    <row r="52" spans="2:23" x14ac:dyDescent="0.25">
      <c r="B52" t="str">
        <f>Levels!M52</f>
        <v>Greenlea 11</v>
      </c>
      <c r="C52" s="27">
        <f>ROUND(Levels!O52, 1)</f>
        <v>61.4</v>
      </c>
      <c r="D52" s="27">
        <f>ROUND(Levels!Q52, 1)</f>
        <v>61.9</v>
      </c>
      <c r="E52" s="27">
        <f>ROUND(Levels!P52, 1)</f>
        <v>61.2</v>
      </c>
      <c r="F52" s="27">
        <f>ROUND(Levels!R52,1)</f>
        <v>62</v>
      </c>
      <c r="G52" s="5">
        <f t="shared" si="2"/>
        <v>-0.2</v>
      </c>
      <c r="H52" s="26" t="str">
        <f t="shared" si="3"/>
        <v>-</v>
      </c>
      <c r="I52" s="5">
        <f t="shared" si="4"/>
        <v>0.5</v>
      </c>
      <c r="J52" s="5">
        <f t="shared" si="5"/>
        <v>0.5</v>
      </c>
      <c r="K52" s="5" t="str">
        <f t="shared" si="9"/>
        <v>Negligible</v>
      </c>
      <c r="L52" s="5">
        <f t="shared" si="6"/>
        <v>0.6</v>
      </c>
      <c r="M52" s="5">
        <f t="shared" si="7"/>
        <v>0.5</v>
      </c>
      <c r="N52" s="20" t="str">
        <f t="shared" si="8"/>
        <v>Negligible</v>
      </c>
      <c r="O52" s="30">
        <f t="shared" si="10"/>
        <v>7.9343405511030085E-3</v>
      </c>
      <c r="P52" s="30">
        <f t="shared" si="11"/>
        <v>9.5605760928378081E-3</v>
      </c>
      <c r="T52" s="21" t="s">
        <v>246</v>
      </c>
      <c r="U52" s="21">
        <v>0</v>
      </c>
      <c r="V52" s="21">
        <f>COUNTIF(O4:O190, "=0")</f>
        <v>1</v>
      </c>
      <c r="W52" s="36">
        <f>COUNTIF(P4:P190, "=0")-1</f>
        <v>2</v>
      </c>
    </row>
    <row r="53" spans="2:23" x14ac:dyDescent="0.25">
      <c r="B53" t="str">
        <f>Levels!M53</f>
        <v>El Sub Sta 12</v>
      </c>
      <c r="C53" s="27">
        <f>ROUND(Levels!O53, 1)</f>
        <v>59</v>
      </c>
      <c r="D53" s="27">
        <f>ROUND(Levels!Q53, 1)</f>
        <v>59.5</v>
      </c>
      <c r="E53" s="27">
        <f>ROUND(Levels!P53, 1)</f>
        <v>59</v>
      </c>
      <c r="F53" s="27">
        <f>ROUND(Levels!R53,1)</f>
        <v>59.7</v>
      </c>
      <c r="G53" s="5">
        <f t="shared" si="2"/>
        <v>0</v>
      </c>
      <c r="H53" s="26" t="str">
        <f t="shared" si="3"/>
        <v>No change</v>
      </c>
      <c r="I53" s="5">
        <f t="shared" si="4"/>
        <v>0.5</v>
      </c>
      <c r="J53" s="5">
        <f t="shared" si="5"/>
        <v>0.5</v>
      </c>
      <c r="K53" s="5" t="str">
        <f t="shared" si="9"/>
        <v>Negligible</v>
      </c>
      <c r="L53" s="5">
        <f t="shared" si="6"/>
        <v>0.7</v>
      </c>
      <c r="M53" s="5">
        <f t="shared" si="7"/>
        <v>0.6</v>
      </c>
      <c r="N53" s="20" t="str">
        <f t="shared" si="8"/>
        <v>Negligible</v>
      </c>
      <c r="O53" s="30">
        <f t="shared" si="10"/>
        <v>6.4449344932281105E-3</v>
      </c>
      <c r="P53" s="30">
        <f t="shared" si="11"/>
        <v>9.1053606072843685E-3</v>
      </c>
      <c r="T53" s="47" t="s">
        <v>248</v>
      </c>
      <c r="U53" s="19" t="s">
        <v>241</v>
      </c>
      <c r="V53" s="21">
        <f>countValueBtwX_Y(O4:O190, -0.1, 0)</f>
        <v>4</v>
      </c>
      <c r="W53" s="21">
        <f>countValueBtwX_Y(P4:P190, -1, 0)-1</f>
        <v>75</v>
      </c>
    </row>
    <row r="54" spans="2:23" x14ac:dyDescent="0.25">
      <c r="B54" t="str">
        <f>Levels!M54</f>
        <v>El Sub Sta 14</v>
      </c>
      <c r="C54" s="27">
        <f>ROUND(Levels!O54, 1)</f>
        <v>57.9</v>
      </c>
      <c r="D54" s="27">
        <f>ROUND(Levels!Q54, 1)</f>
        <v>58.5</v>
      </c>
      <c r="E54" s="27">
        <f>ROUND(Levels!P54, 1)</f>
        <v>57.9</v>
      </c>
      <c r="F54" s="27">
        <f>ROUND(Levels!R54,1)</f>
        <v>58.6</v>
      </c>
      <c r="G54" s="5">
        <f t="shared" si="2"/>
        <v>0</v>
      </c>
      <c r="H54" s="26" t="str">
        <f t="shared" si="3"/>
        <v>No change</v>
      </c>
      <c r="I54" s="5">
        <f t="shared" si="4"/>
        <v>0.6</v>
      </c>
      <c r="J54" s="5">
        <f t="shared" si="5"/>
        <v>0.5</v>
      </c>
      <c r="K54" s="5" t="str">
        <f t="shared" si="9"/>
        <v>Negligible</v>
      </c>
      <c r="L54" s="5">
        <f t="shared" si="6"/>
        <v>0.7</v>
      </c>
      <c r="M54" s="5">
        <f t="shared" si="7"/>
        <v>0.6</v>
      </c>
      <c r="N54" s="20" t="str">
        <f t="shared" si="8"/>
        <v>Negligible</v>
      </c>
      <c r="O54" s="30">
        <f t="shared" si="10"/>
        <v>7.0205556524794432E-3</v>
      </c>
      <c r="P54" s="30">
        <f t="shared" si="11"/>
        <v>8.2293517758720014E-3</v>
      </c>
      <c r="T54" s="47"/>
      <c r="U54" s="21" t="s">
        <v>242</v>
      </c>
      <c r="V54" s="21"/>
    </row>
    <row r="55" spans="2:23" x14ac:dyDescent="0.25">
      <c r="B55" t="str">
        <f>Levels!M55</f>
        <v>The Paddock 4</v>
      </c>
      <c r="C55" s="27">
        <f>ROUND(Levels!O55, 1)</f>
        <v>59.9</v>
      </c>
      <c r="D55" s="27">
        <f>ROUND(Levels!Q55, 1)</f>
        <v>60.5</v>
      </c>
      <c r="E55" s="27">
        <f>ROUND(Levels!P55, 1)</f>
        <v>59.8</v>
      </c>
      <c r="F55" s="27">
        <f>ROUND(Levels!R55,1)</f>
        <v>60.6</v>
      </c>
      <c r="G55" s="5">
        <f t="shared" si="2"/>
        <v>-0.1</v>
      </c>
      <c r="H55" s="26" t="str">
        <f t="shared" si="3"/>
        <v>-</v>
      </c>
      <c r="I55" s="5">
        <f t="shared" si="4"/>
        <v>0.6</v>
      </c>
      <c r="J55" s="5">
        <f t="shared" si="5"/>
        <v>0.5</v>
      </c>
      <c r="K55" s="5" t="str">
        <f t="shared" si="9"/>
        <v>Negligible</v>
      </c>
      <c r="L55" s="5">
        <f t="shared" si="6"/>
        <v>0.7</v>
      </c>
      <c r="M55" s="5">
        <f t="shared" si="7"/>
        <v>0.6</v>
      </c>
      <c r="N55" s="20" t="str">
        <f t="shared" si="8"/>
        <v>Negligible</v>
      </c>
      <c r="O55" s="30">
        <f t="shared" si="10"/>
        <v>8.4172741074541313E-3</v>
      </c>
      <c r="P55" s="30">
        <f t="shared" si="11"/>
        <v>9.8634187393798201E-3</v>
      </c>
      <c r="T55" s="47"/>
      <c r="U55" s="21" t="s">
        <v>243</v>
      </c>
      <c r="V55" s="21"/>
    </row>
    <row r="56" spans="2:23" x14ac:dyDescent="0.25">
      <c r="B56" t="str">
        <f>Levels!M56</f>
        <v>The Paddock 1</v>
      </c>
      <c r="C56" s="27">
        <f>ROUND(Levels!O56, 1)</f>
        <v>59.7</v>
      </c>
      <c r="D56" s="27">
        <f>ROUND(Levels!Q56, 1)</f>
        <v>60.3</v>
      </c>
      <c r="E56" s="27">
        <f>ROUND(Levels!P56, 1)</f>
        <v>59.6</v>
      </c>
      <c r="F56" s="27">
        <f>ROUND(Levels!R56,1)</f>
        <v>60.4</v>
      </c>
      <c r="G56" s="5">
        <f t="shared" si="2"/>
        <v>-0.1</v>
      </c>
      <c r="H56" s="26" t="str">
        <f t="shared" si="3"/>
        <v>-</v>
      </c>
      <c r="I56" s="5">
        <f t="shared" si="4"/>
        <v>0.6</v>
      </c>
      <c r="J56" s="5">
        <f t="shared" si="5"/>
        <v>0.5</v>
      </c>
      <c r="K56" s="5" t="str">
        <f t="shared" si="9"/>
        <v>Negligible</v>
      </c>
      <c r="L56" s="5">
        <f t="shared" si="6"/>
        <v>0.7</v>
      </c>
      <c r="M56" s="5">
        <f t="shared" si="7"/>
        <v>0.6</v>
      </c>
      <c r="N56" s="20" t="str">
        <f t="shared" si="8"/>
        <v>Negligible</v>
      </c>
      <c r="O56" s="30">
        <f t="shared" si="10"/>
        <v>8.2706234410763191E-3</v>
      </c>
      <c r="P56" s="30">
        <f t="shared" si="11"/>
        <v>9.6919059762161364E-3</v>
      </c>
      <c r="T56" s="47"/>
      <c r="U56" s="21" t="s">
        <v>244</v>
      </c>
      <c r="V56" s="1"/>
    </row>
    <row r="57" spans="2:23" x14ac:dyDescent="0.25">
      <c r="B57" t="str">
        <f>Levels!M57</f>
        <v>The Paddock 2</v>
      </c>
      <c r="C57" s="27">
        <f>ROUND(Levels!O57, 1)</f>
        <v>56</v>
      </c>
      <c r="D57" s="27">
        <f>ROUND(Levels!Q57, 1)</f>
        <v>56.6</v>
      </c>
      <c r="E57" s="27">
        <f>ROUND(Levels!P57, 1)</f>
        <v>56</v>
      </c>
      <c r="F57" s="27">
        <f>ROUND(Levels!R57,1)</f>
        <v>56.8</v>
      </c>
      <c r="G57" s="5">
        <f t="shared" si="2"/>
        <v>0</v>
      </c>
      <c r="H57" s="26" t="str">
        <f t="shared" si="3"/>
        <v>No change</v>
      </c>
      <c r="I57" s="5">
        <f t="shared" si="4"/>
        <v>0.6</v>
      </c>
      <c r="J57" s="5">
        <f t="shared" si="5"/>
        <v>0.5</v>
      </c>
      <c r="K57" s="5" t="str">
        <f t="shared" si="9"/>
        <v>Negligible</v>
      </c>
      <c r="L57" s="5">
        <f t="shared" si="6"/>
        <v>0.8</v>
      </c>
      <c r="M57" s="5">
        <f t="shared" si="7"/>
        <v>0.7</v>
      </c>
      <c r="N57" s="20" t="str">
        <f t="shared" si="8"/>
        <v>Negligible</v>
      </c>
      <c r="O57" s="30">
        <f t="shared" si="10"/>
        <v>5.8474895974012231E-3</v>
      </c>
      <c r="P57" s="30">
        <f t="shared" si="11"/>
        <v>7.8744813926392848E-3</v>
      </c>
      <c r="T57" s="47"/>
      <c r="U57" s="21" t="s">
        <v>245</v>
      </c>
      <c r="W57" s="1"/>
    </row>
    <row r="58" spans="2:23" x14ac:dyDescent="0.25">
      <c r="B58" t="str">
        <f>Levels!M58</f>
        <v>Martindale Close 1</v>
      </c>
      <c r="C58" s="27">
        <f>ROUND(Levels!O58, 1)</f>
        <v>61.2</v>
      </c>
      <c r="D58" s="27">
        <f>ROUND(Levels!Q58, 1)</f>
        <v>61.8</v>
      </c>
      <c r="E58" s="27">
        <f>ROUND(Levels!P58, 1)</f>
        <v>61.2</v>
      </c>
      <c r="F58" s="27">
        <f>ROUND(Levels!R58,1)</f>
        <v>61.9</v>
      </c>
      <c r="G58" s="5">
        <f t="shared" si="2"/>
        <v>0</v>
      </c>
      <c r="H58" s="26" t="str">
        <f t="shared" si="3"/>
        <v>No change</v>
      </c>
      <c r="I58" s="5">
        <f t="shared" si="4"/>
        <v>0.6</v>
      </c>
      <c r="J58" s="5">
        <f t="shared" si="5"/>
        <v>0.5</v>
      </c>
      <c r="K58" s="5" t="str">
        <f t="shared" si="9"/>
        <v>Negligible</v>
      </c>
      <c r="L58" s="5">
        <f t="shared" si="6"/>
        <v>0.7</v>
      </c>
      <c r="M58" s="5">
        <f t="shared" si="7"/>
        <v>0.6</v>
      </c>
      <c r="N58" s="20" t="str">
        <f t="shared" si="8"/>
        <v>Negligible</v>
      </c>
      <c r="O58" s="30">
        <f t="shared" si="10"/>
        <v>9.4040531443413677E-3</v>
      </c>
      <c r="P58" s="30">
        <f t="shared" si="11"/>
        <v>1.1017105157478113E-2</v>
      </c>
    </row>
    <row r="59" spans="2:23" x14ac:dyDescent="0.25">
      <c r="B59" t="str">
        <f>Levels!M59</f>
        <v>Martindale Close 5</v>
      </c>
      <c r="C59" s="27">
        <f>ROUND(Levels!O59, 1)</f>
        <v>51</v>
      </c>
      <c r="D59" s="27">
        <f>ROUND(Levels!Q59, 1)</f>
        <v>51.7</v>
      </c>
      <c r="E59" s="27">
        <f>ROUND(Levels!P59, 1)</f>
        <v>50.9</v>
      </c>
      <c r="F59" s="27">
        <f>ROUND(Levels!R59,1)</f>
        <v>51.6</v>
      </c>
      <c r="G59" s="5">
        <f t="shared" si="2"/>
        <v>-0.1</v>
      </c>
      <c r="H59" s="26" t="str">
        <f t="shared" si="3"/>
        <v>-</v>
      </c>
      <c r="I59" s="5">
        <f t="shared" si="4"/>
        <v>0.7</v>
      </c>
      <c r="J59" s="5">
        <f t="shared" si="5"/>
        <v>0.6</v>
      </c>
      <c r="K59" s="5" t="str">
        <f t="shared" si="9"/>
        <v>Negligible</v>
      </c>
      <c r="L59" s="5">
        <f t="shared" si="6"/>
        <v>0.6</v>
      </c>
      <c r="M59" s="5">
        <f t="shared" si="7"/>
        <v>0.5</v>
      </c>
      <c r="N59" s="20" t="str">
        <f t="shared" si="8"/>
        <v>Negligible</v>
      </c>
      <c r="O59" s="30">
        <f t="shared" si="10"/>
        <v>4.0867948718556826E-3</v>
      </c>
      <c r="P59" s="30">
        <f t="shared" si="11"/>
        <v>3.483957816636761E-3</v>
      </c>
    </row>
    <row r="60" spans="2:23" x14ac:dyDescent="0.25">
      <c r="B60" t="str">
        <f>Levels!M60</f>
        <v>Martindale Close 8</v>
      </c>
      <c r="C60" s="27">
        <f>ROUND(Levels!O60, 1)</f>
        <v>59.9</v>
      </c>
      <c r="D60" s="27">
        <f>ROUND(Levels!Q60, 1)</f>
        <v>60.5</v>
      </c>
      <c r="E60" s="27">
        <f>ROUND(Levels!P60, 1)</f>
        <v>60</v>
      </c>
      <c r="F60" s="27">
        <f>ROUND(Levels!R60,1)</f>
        <v>60.8</v>
      </c>
      <c r="G60" s="5">
        <f t="shared" si="2"/>
        <v>0.1</v>
      </c>
      <c r="H60" s="26" t="str">
        <f t="shared" si="3"/>
        <v>Negligible</v>
      </c>
      <c r="I60" s="5">
        <f t="shared" si="4"/>
        <v>0.6</v>
      </c>
      <c r="J60" s="5">
        <f t="shared" si="5"/>
        <v>0.5</v>
      </c>
      <c r="K60" s="5" t="str">
        <f t="shared" si="9"/>
        <v>Negligible</v>
      </c>
      <c r="L60" s="5">
        <f t="shared" si="6"/>
        <v>0.9</v>
      </c>
      <c r="M60" s="5">
        <f t="shared" si="7"/>
        <v>0.8</v>
      </c>
      <c r="N60" s="20" t="str">
        <f t="shared" si="8"/>
        <v>Negligible</v>
      </c>
      <c r="O60" s="30">
        <f t="shared" si="10"/>
        <v>8.4172741074541313E-3</v>
      </c>
      <c r="P60" s="30">
        <f t="shared" si="11"/>
        <v>9.8224379670311612E-2</v>
      </c>
    </row>
    <row r="61" spans="2:23" x14ac:dyDescent="0.25">
      <c r="B61" t="str">
        <f>Levels!M61</f>
        <v>Martindale Close 9</v>
      </c>
      <c r="C61" s="27">
        <f>ROUND(Levels!O61, 1)</f>
        <v>60.1</v>
      </c>
      <c r="D61" s="27">
        <f>ROUND(Levels!Q61, 1)</f>
        <v>60.7</v>
      </c>
      <c r="E61" s="27">
        <f>ROUND(Levels!P61, 1)</f>
        <v>60.2</v>
      </c>
      <c r="F61" s="27">
        <f>ROUND(Levels!R61,1)</f>
        <v>60.9</v>
      </c>
      <c r="G61" s="5">
        <f t="shared" si="2"/>
        <v>0.1</v>
      </c>
      <c r="H61" s="26" t="str">
        <f t="shared" si="3"/>
        <v>Negligible</v>
      </c>
      <c r="I61" s="5">
        <f t="shared" si="4"/>
        <v>0.6</v>
      </c>
      <c r="J61" s="5">
        <f t="shared" si="5"/>
        <v>0.5</v>
      </c>
      <c r="K61" s="5" t="str">
        <f t="shared" si="9"/>
        <v>Negligible</v>
      </c>
      <c r="L61" s="5">
        <f t="shared" si="6"/>
        <v>0.8</v>
      </c>
      <c r="M61" s="5">
        <f t="shared" si="7"/>
        <v>0.7</v>
      </c>
      <c r="N61" s="20" t="str">
        <f t="shared" si="8"/>
        <v>Negligible</v>
      </c>
      <c r="O61" s="30">
        <f t="shared" si="10"/>
        <v>8.5653713158209133E-3</v>
      </c>
      <c r="P61" s="30">
        <f t="shared" si="11"/>
        <v>9.8224379670311612E-2</v>
      </c>
    </row>
    <row r="62" spans="2:23" x14ac:dyDescent="0.25">
      <c r="B62" t="str">
        <f>Levels!M62</f>
        <v>The Paddock 9</v>
      </c>
      <c r="C62" s="27">
        <f>ROUND(Levels!O62, 1)</f>
        <v>60.8</v>
      </c>
      <c r="D62" s="27">
        <f>ROUND(Levels!Q62, 1)</f>
        <v>61.3</v>
      </c>
      <c r="E62" s="27">
        <f>ROUND(Levels!P62, 1)</f>
        <v>60.8</v>
      </c>
      <c r="F62" s="27">
        <f>ROUND(Levels!R62,1)</f>
        <v>61.6</v>
      </c>
      <c r="G62" s="5">
        <f t="shared" si="2"/>
        <v>0</v>
      </c>
      <c r="H62" s="26" t="str">
        <f t="shared" si="3"/>
        <v>No change</v>
      </c>
      <c r="I62" s="5">
        <f t="shared" si="4"/>
        <v>0.5</v>
      </c>
      <c r="J62" s="5">
        <f t="shared" si="5"/>
        <v>0.5</v>
      </c>
      <c r="K62" s="5" t="str">
        <f t="shared" si="9"/>
        <v>Negligible</v>
      </c>
      <c r="L62" s="5">
        <f t="shared" si="6"/>
        <v>0.8</v>
      </c>
      <c r="M62" s="5">
        <f t="shared" si="7"/>
        <v>0.7</v>
      </c>
      <c r="N62" s="20" t="str">
        <f t="shared" si="8"/>
        <v>Negligible</v>
      </c>
      <c r="O62" s="30">
        <f t="shared" si="10"/>
        <v>7.5467380177309529E-3</v>
      </c>
      <c r="P62" s="30">
        <f t="shared" si="11"/>
        <v>1.2229123159369526E-2</v>
      </c>
    </row>
    <row r="63" spans="2:23" x14ac:dyDescent="0.25">
      <c r="B63" t="str">
        <f>Levels!M63</f>
        <v>Manor Close 22</v>
      </c>
      <c r="C63" s="27">
        <f>ROUND(Levels!O63, 1)</f>
        <v>56</v>
      </c>
      <c r="D63" s="27">
        <f>ROUND(Levels!Q63, 1)</f>
        <v>56.6</v>
      </c>
      <c r="E63" s="27">
        <f>ROUND(Levels!P63, 1)</f>
        <v>56</v>
      </c>
      <c r="F63" s="27">
        <f>ROUND(Levels!R63,1)</f>
        <v>56.8</v>
      </c>
      <c r="G63" s="5">
        <f t="shared" si="2"/>
        <v>0</v>
      </c>
      <c r="H63" s="26" t="str">
        <f t="shared" si="3"/>
        <v>No change</v>
      </c>
      <c r="I63" s="5">
        <f t="shared" si="4"/>
        <v>0.6</v>
      </c>
      <c r="J63" s="5">
        <f t="shared" si="5"/>
        <v>0.5</v>
      </c>
      <c r="K63" s="5" t="str">
        <f t="shared" si="9"/>
        <v>Negligible</v>
      </c>
      <c r="L63" s="5">
        <f t="shared" si="6"/>
        <v>0.8</v>
      </c>
      <c r="M63" s="5">
        <f t="shared" si="7"/>
        <v>0.7</v>
      </c>
      <c r="N63" s="20" t="str">
        <f t="shared" si="8"/>
        <v>Negligible</v>
      </c>
      <c r="O63" s="30">
        <f t="shared" si="10"/>
        <v>5.8474895974012231E-3</v>
      </c>
      <c r="P63" s="30">
        <f t="shared" si="11"/>
        <v>7.8744813926392848E-3</v>
      </c>
    </row>
    <row r="64" spans="2:23" x14ac:dyDescent="0.25">
      <c r="B64" t="str">
        <f>Levels!M64</f>
        <v>Manor Close 21</v>
      </c>
      <c r="C64" s="27">
        <f>ROUND(Levels!O64, 1)</f>
        <v>56.4</v>
      </c>
      <c r="D64" s="27">
        <f>ROUND(Levels!Q64, 1)</f>
        <v>57</v>
      </c>
      <c r="E64" s="27">
        <f>ROUND(Levels!P64, 1)</f>
        <v>56.4</v>
      </c>
      <c r="F64" s="27">
        <f>ROUND(Levels!R64,1)</f>
        <v>57.2</v>
      </c>
      <c r="G64" s="5">
        <f t="shared" si="2"/>
        <v>0</v>
      </c>
      <c r="H64" s="26" t="str">
        <f t="shared" si="3"/>
        <v>No change</v>
      </c>
      <c r="I64" s="5">
        <f t="shared" si="4"/>
        <v>0.6</v>
      </c>
      <c r="J64" s="5">
        <f t="shared" si="5"/>
        <v>0.5</v>
      </c>
      <c r="K64" s="5" t="str">
        <f t="shared" si="9"/>
        <v>Negligible</v>
      </c>
      <c r="L64" s="5">
        <f t="shared" si="6"/>
        <v>0.8</v>
      </c>
      <c r="M64" s="5">
        <f t="shared" si="7"/>
        <v>0.7</v>
      </c>
      <c r="N64" s="20" t="str">
        <f t="shared" si="8"/>
        <v>Negligible</v>
      </c>
      <c r="O64" s="30">
        <f t="shared" si="10"/>
        <v>6.0815512240132985E-3</v>
      </c>
      <c r="P64" s="30">
        <f t="shared" si="11"/>
        <v>8.1888663702277958E-3</v>
      </c>
    </row>
    <row r="65" spans="2:16" x14ac:dyDescent="0.25">
      <c r="B65" t="str">
        <f>Levels!M65</f>
        <v>Manor Close 19</v>
      </c>
      <c r="C65" s="27">
        <f>ROUND(Levels!O65, 1)</f>
        <v>56.8</v>
      </c>
      <c r="D65" s="27">
        <f>ROUND(Levels!Q65, 1)</f>
        <v>57.3</v>
      </c>
      <c r="E65" s="27">
        <f>ROUND(Levels!P65, 1)</f>
        <v>56.7</v>
      </c>
      <c r="F65" s="27">
        <f>ROUND(Levels!R65,1)</f>
        <v>57.5</v>
      </c>
      <c r="G65" s="5">
        <f t="shared" si="2"/>
        <v>-0.1</v>
      </c>
      <c r="H65" s="26" t="str">
        <f t="shared" si="3"/>
        <v>-</v>
      </c>
      <c r="I65" s="5">
        <f t="shared" si="4"/>
        <v>0.5</v>
      </c>
      <c r="J65" s="5">
        <f t="shared" si="5"/>
        <v>0.5</v>
      </c>
      <c r="K65" s="5" t="str">
        <f t="shared" si="9"/>
        <v>Negligible</v>
      </c>
      <c r="L65" s="5">
        <f t="shared" si="6"/>
        <v>0.7</v>
      </c>
      <c r="M65" s="5">
        <f t="shared" si="7"/>
        <v>0.6</v>
      </c>
      <c r="N65" s="20" t="str">
        <f t="shared" si="8"/>
        <v>Negligible</v>
      </c>
      <c r="O65" s="30">
        <f t="shared" si="10"/>
        <v>5.2431865537464761E-3</v>
      </c>
      <c r="P65" s="30">
        <f t="shared" si="11"/>
        <v>7.4122520090806887E-3</v>
      </c>
    </row>
    <row r="66" spans="2:16" x14ac:dyDescent="0.25">
      <c r="B66" t="str">
        <f>Levels!M66</f>
        <v>Manor Close 20</v>
      </c>
      <c r="C66" s="27">
        <f>ROUND(Levels!O66, 1)</f>
        <v>56.7</v>
      </c>
      <c r="D66" s="27">
        <f>ROUND(Levels!Q66, 1)</f>
        <v>57.3</v>
      </c>
      <c r="E66" s="27">
        <f>ROUND(Levels!P66, 1)</f>
        <v>56.7</v>
      </c>
      <c r="F66" s="27">
        <f>ROUND(Levels!R66,1)</f>
        <v>57.4</v>
      </c>
      <c r="G66" s="5">
        <f t="shared" si="2"/>
        <v>0</v>
      </c>
      <c r="H66" s="26" t="str">
        <f t="shared" si="3"/>
        <v>No change</v>
      </c>
      <c r="I66" s="5">
        <f t="shared" si="4"/>
        <v>0.6</v>
      </c>
      <c r="J66" s="5">
        <f t="shared" si="5"/>
        <v>0.5</v>
      </c>
      <c r="K66" s="5" t="str">
        <f t="shared" si="9"/>
        <v>Negligible</v>
      </c>
      <c r="L66" s="5">
        <f t="shared" si="6"/>
        <v>0.7</v>
      </c>
      <c r="M66" s="5">
        <f t="shared" si="7"/>
        <v>0.6</v>
      </c>
      <c r="N66" s="20" t="str">
        <f t="shared" si="8"/>
        <v>Negligible</v>
      </c>
      <c r="O66" s="30">
        <f t="shared" si="10"/>
        <v>6.2616307220785539E-3</v>
      </c>
      <c r="P66" s="30">
        <f t="shared" si="11"/>
        <v>7.3409638873721261E-3</v>
      </c>
    </row>
    <row r="67" spans="2:16" x14ac:dyDescent="0.25">
      <c r="B67" t="str">
        <f>Levels!M67</f>
        <v>Manor Close 13</v>
      </c>
      <c r="C67" s="27">
        <f>ROUND(Levels!O67, 1)</f>
        <v>60.9</v>
      </c>
      <c r="D67" s="27">
        <f>ROUND(Levels!Q67, 1)</f>
        <v>61.4</v>
      </c>
      <c r="E67" s="27">
        <f>ROUND(Levels!P67, 1)</f>
        <v>60.6</v>
      </c>
      <c r="F67" s="27">
        <f>ROUND(Levels!R67,1)</f>
        <v>61.3</v>
      </c>
      <c r="G67" s="5">
        <f t="shared" si="2"/>
        <v>-0.3</v>
      </c>
      <c r="H67" s="26" t="str">
        <f t="shared" si="3"/>
        <v>-</v>
      </c>
      <c r="I67" s="5">
        <f t="shared" si="4"/>
        <v>0.5</v>
      </c>
      <c r="J67" s="5">
        <f t="shared" si="5"/>
        <v>0.5</v>
      </c>
      <c r="K67" s="5" t="str">
        <f t="shared" si="9"/>
        <v>Negligible</v>
      </c>
      <c r="L67" s="5">
        <f t="shared" si="6"/>
        <v>0.4</v>
      </c>
      <c r="M67" s="5">
        <f t="shared" si="7"/>
        <v>0.4</v>
      </c>
      <c r="N67" s="20" t="str">
        <f t="shared" si="8"/>
        <v>Negligible</v>
      </c>
      <c r="O67" s="30">
        <f t="shared" si="10"/>
        <v>7.6107007907784407E-3</v>
      </c>
      <c r="P67" s="30">
        <f t="shared" si="11"/>
        <v>6.0628698527991354E-3</v>
      </c>
    </row>
    <row r="68" spans="2:16" x14ac:dyDescent="0.25">
      <c r="B68" t="str">
        <f>Levels!M68</f>
        <v>Manor Close 7</v>
      </c>
      <c r="C68" s="27">
        <f>ROUND(Levels!O68, 1)</f>
        <v>50.6</v>
      </c>
      <c r="D68" s="27">
        <f>ROUND(Levels!Q68, 1)</f>
        <v>51.3</v>
      </c>
      <c r="E68" s="27">
        <f>ROUND(Levels!P68, 1)</f>
        <v>49.6</v>
      </c>
      <c r="F68" s="27">
        <f>ROUND(Levels!R68,1)</f>
        <v>50.4</v>
      </c>
      <c r="G68" s="5">
        <f t="shared" si="2"/>
        <v>-1</v>
      </c>
      <c r="H68" s="26" t="str">
        <f t="shared" si="3"/>
        <v>-</v>
      </c>
      <c r="I68" s="5">
        <f t="shared" si="4"/>
        <v>0.7</v>
      </c>
      <c r="J68" s="5">
        <f t="shared" si="5"/>
        <v>0.6</v>
      </c>
      <c r="K68" s="5" t="str">
        <f t="shared" si="9"/>
        <v>Negligible</v>
      </c>
      <c r="L68" s="5">
        <f t="shared" si="6"/>
        <v>-0.2</v>
      </c>
      <c r="M68" s="5">
        <f t="shared" si="7"/>
        <v>-0.2</v>
      </c>
      <c r="N68" s="20" t="str">
        <f t="shared" si="8"/>
        <v>-</v>
      </c>
      <c r="O68" s="30">
        <f t="shared" ref="O68:O99" si="12">NuisanceByL10(D68) - NuisanceByL10(C68)</f>
        <v>3.9140637978979723E-3</v>
      </c>
      <c r="P68" s="30">
        <f t="shared" ref="P68:P99" si="13">MAX(NuisanceByL10(F68)-NuisanceByL10(C68), NuisanceChangeByL10Change(G68))</f>
        <v>-1.0647880989923045E-3</v>
      </c>
    </row>
    <row r="69" spans="2:16" x14ac:dyDescent="0.25">
      <c r="B69" t="str">
        <f>Levels!M69</f>
        <v>Westlands 18</v>
      </c>
      <c r="C69" s="27">
        <f>ROUND(Levels!O69, 1)</f>
        <v>62.7</v>
      </c>
      <c r="D69" s="27">
        <f>ROUND(Levels!Q69, 1)</f>
        <v>63</v>
      </c>
      <c r="E69" s="27">
        <f>ROUND(Levels!P69, 1)</f>
        <v>62.1</v>
      </c>
      <c r="F69" s="27">
        <f>ROUND(Levels!R69,1)</f>
        <v>62.8</v>
      </c>
      <c r="G69" s="5">
        <f t="shared" ref="G69:G132" si="14">ROUND(E69-C69, 1)</f>
        <v>-0.6</v>
      </c>
      <c r="H69" s="26" t="str">
        <f t="shared" ref="H69:H132" si="15">ShortTermImpact(G69)</f>
        <v>-</v>
      </c>
      <c r="I69" s="5">
        <f t="shared" ref="I69:I132" si="16">ROUND(D69-C69,1)</f>
        <v>0.3</v>
      </c>
      <c r="J69" s="5">
        <f t="shared" ref="J69:J132" si="17">ROUND(0.9*I69,1)</f>
        <v>0.3</v>
      </c>
      <c r="K69" s="5" t="str">
        <f t="shared" ref="K69:K132" si="18">LongTermImpact(I69)</f>
        <v>Negligible</v>
      </c>
      <c r="L69" s="5">
        <f t="shared" ref="L69:L132" si="19">ROUND(F69-C69, 1)</f>
        <v>0.1</v>
      </c>
      <c r="M69" s="5">
        <f t="shared" ref="M69:M132" si="20">ROUND(0.9*L69, 1)</f>
        <v>0.1</v>
      </c>
      <c r="N69" s="20" t="str">
        <f t="shared" ref="N69:N132" si="21">LongTermImpact(L69)</f>
        <v>Negligible</v>
      </c>
      <c r="O69" s="30">
        <f t="shared" si="12"/>
        <v>5.2401489469386664E-3</v>
      </c>
      <c r="P69" s="30">
        <f t="shared" si="13"/>
        <v>1.7331741897304576E-3</v>
      </c>
    </row>
    <row r="70" spans="2:16" x14ac:dyDescent="0.25">
      <c r="B70" t="str">
        <f>Levels!M70</f>
        <v>The Green 7</v>
      </c>
      <c r="C70" s="27">
        <f>ROUND(Levels!O70, 1)</f>
        <v>62.2</v>
      </c>
      <c r="D70" s="27">
        <f>ROUND(Levels!Q70, 1)</f>
        <v>62.6</v>
      </c>
      <c r="E70" s="27">
        <f>ROUND(Levels!P70, 1)</f>
        <v>59.6</v>
      </c>
      <c r="F70" s="27">
        <f>ROUND(Levels!R70,1)</f>
        <v>60.3</v>
      </c>
      <c r="G70" s="5">
        <f t="shared" si="14"/>
        <v>-2.6</v>
      </c>
      <c r="H70" s="26" t="str">
        <f t="shared" si="15"/>
        <v>-</v>
      </c>
      <c r="I70" s="5">
        <f t="shared" si="16"/>
        <v>0.4</v>
      </c>
      <c r="J70" s="5">
        <f t="shared" si="17"/>
        <v>0.4</v>
      </c>
      <c r="K70" s="5" t="str">
        <f t="shared" si="18"/>
        <v>Negligible</v>
      </c>
      <c r="L70" s="5">
        <f t="shared" si="19"/>
        <v>-1.9</v>
      </c>
      <c r="M70" s="5">
        <f t="shared" si="20"/>
        <v>-1.7</v>
      </c>
      <c r="N70" s="20" t="str">
        <f t="shared" si="21"/>
        <v>-</v>
      </c>
      <c r="O70" s="30">
        <f t="shared" si="12"/>
        <v>6.7444364007830659E-3</v>
      </c>
      <c r="P70" s="30">
        <f t="shared" si="13"/>
        <v>-2.9178352014950865E-2</v>
      </c>
    </row>
    <row r="71" spans="2:16" x14ac:dyDescent="0.25">
      <c r="B71" t="str">
        <f>Levels!M71</f>
        <v>The Green 8</v>
      </c>
      <c r="C71" s="27">
        <f>ROUND(Levels!O71, 1)</f>
        <v>64.099999999999994</v>
      </c>
      <c r="D71" s="27">
        <f>ROUND(Levels!Q71, 1)</f>
        <v>64.5</v>
      </c>
      <c r="E71" s="27">
        <f>ROUND(Levels!P71, 1)</f>
        <v>62.2</v>
      </c>
      <c r="F71" s="27">
        <f>ROUND(Levels!R71,1)</f>
        <v>63</v>
      </c>
      <c r="G71" s="5">
        <f t="shared" si="14"/>
        <v>-1.9</v>
      </c>
      <c r="H71" s="26" t="str">
        <f t="shared" si="15"/>
        <v>-</v>
      </c>
      <c r="I71" s="5">
        <f t="shared" si="16"/>
        <v>0.4</v>
      </c>
      <c r="J71" s="5">
        <f t="shared" si="17"/>
        <v>0.4</v>
      </c>
      <c r="K71" s="5" t="str">
        <f t="shared" si="18"/>
        <v>Negligible</v>
      </c>
      <c r="L71" s="5">
        <f t="shared" si="19"/>
        <v>-1.1000000000000001</v>
      </c>
      <c r="M71" s="5">
        <f t="shared" si="20"/>
        <v>-1</v>
      </c>
      <c r="N71" s="20" t="str">
        <f t="shared" si="21"/>
        <v>-</v>
      </c>
      <c r="O71" s="30">
        <f t="shared" si="12"/>
        <v>7.7828211439857076E-3</v>
      </c>
      <c r="P71" s="30">
        <f t="shared" si="13"/>
        <v>-2.0265718008323108E-2</v>
      </c>
    </row>
    <row r="72" spans="2:16" x14ac:dyDescent="0.25">
      <c r="B72" t="str">
        <f>Levels!M72</f>
        <v>The Green 9</v>
      </c>
      <c r="C72" s="27">
        <f>ROUND(Levels!O72, 1)</f>
        <v>65.900000000000006</v>
      </c>
      <c r="D72" s="27">
        <f>ROUND(Levels!Q72, 1)</f>
        <v>66.7</v>
      </c>
      <c r="E72" s="27">
        <f>ROUND(Levels!P72, 1)</f>
        <v>61.7</v>
      </c>
      <c r="F72" s="27">
        <f>ROUND(Levels!R72,1)</f>
        <v>62.8</v>
      </c>
      <c r="G72" s="5">
        <f t="shared" si="14"/>
        <v>-4.2</v>
      </c>
      <c r="H72" s="26" t="str">
        <f t="shared" si="15"/>
        <v>-</v>
      </c>
      <c r="I72" s="5">
        <f t="shared" si="16"/>
        <v>0.8</v>
      </c>
      <c r="J72" s="5">
        <f t="shared" si="17"/>
        <v>0.7</v>
      </c>
      <c r="K72" s="5" t="str">
        <f t="shared" si="18"/>
        <v>Negligible</v>
      </c>
      <c r="L72" s="5">
        <f t="shared" si="19"/>
        <v>-3.1</v>
      </c>
      <c r="M72" s="5">
        <f t="shared" si="20"/>
        <v>-2.8</v>
      </c>
      <c r="N72" s="20" t="str">
        <f t="shared" si="21"/>
        <v>-</v>
      </c>
      <c r="O72" s="30">
        <f t="shared" si="12"/>
        <v>1.7770060448709074E-2</v>
      </c>
      <c r="P72" s="30">
        <f t="shared" si="13"/>
        <v>-6.0539120500721799E-2</v>
      </c>
    </row>
    <row r="73" spans="2:16" x14ac:dyDescent="0.25">
      <c r="B73" t="str">
        <f>Levels!M73</f>
        <v>The Green 2</v>
      </c>
      <c r="C73" s="27">
        <f>ROUND(Levels!O73, 1)</f>
        <v>64.099999999999994</v>
      </c>
      <c r="D73" s="27">
        <f>ROUND(Levels!Q73, 1)</f>
        <v>64.7</v>
      </c>
      <c r="E73" s="27">
        <f>ROUND(Levels!P73, 1)</f>
        <v>59.4</v>
      </c>
      <c r="F73" s="27">
        <f>ROUND(Levels!R73,1)</f>
        <v>60.3</v>
      </c>
      <c r="G73" s="5">
        <f t="shared" si="14"/>
        <v>-4.7</v>
      </c>
      <c r="H73" s="26" t="str">
        <f t="shared" si="15"/>
        <v>-</v>
      </c>
      <c r="I73" s="5">
        <f t="shared" si="16"/>
        <v>0.6</v>
      </c>
      <c r="J73" s="5">
        <f t="shared" si="17"/>
        <v>0.5</v>
      </c>
      <c r="K73" s="5" t="str">
        <f t="shared" si="18"/>
        <v>Negligible</v>
      </c>
      <c r="L73" s="5">
        <f t="shared" si="19"/>
        <v>-3.8</v>
      </c>
      <c r="M73" s="5">
        <f t="shared" si="20"/>
        <v>-3.4</v>
      </c>
      <c r="N73" s="20" t="str">
        <f t="shared" si="21"/>
        <v>-</v>
      </c>
      <c r="O73" s="30">
        <f t="shared" si="12"/>
        <v>1.1757321623443062E-2</v>
      </c>
      <c r="P73" s="30">
        <f t="shared" si="13"/>
        <v>-6.3148331345171643E-2</v>
      </c>
    </row>
    <row r="74" spans="2:16" x14ac:dyDescent="0.25">
      <c r="B74" t="str">
        <f>Levels!M74</f>
        <v>The Green 3</v>
      </c>
      <c r="C74" s="27">
        <f>ROUND(Levels!O74, 1)</f>
        <v>64.400000000000006</v>
      </c>
      <c r="D74" s="27">
        <f>ROUND(Levels!Q74, 1)</f>
        <v>64.900000000000006</v>
      </c>
      <c r="E74" s="27">
        <f>ROUND(Levels!P74, 1)</f>
        <v>60.4</v>
      </c>
      <c r="F74" s="27">
        <f>ROUND(Levels!R74,1)</f>
        <v>61.2</v>
      </c>
      <c r="G74" s="5">
        <f t="shared" si="14"/>
        <v>-4</v>
      </c>
      <c r="H74" s="26" t="str">
        <f t="shared" si="15"/>
        <v>-</v>
      </c>
      <c r="I74" s="5">
        <f t="shared" si="16"/>
        <v>0.5</v>
      </c>
      <c r="J74" s="5">
        <f t="shared" si="17"/>
        <v>0.5</v>
      </c>
      <c r="K74" s="5" t="str">
        <f t="shared" si="18"/>
        <v>Negligible</v>
      </c>
      <c r="L74" s="5">
        <f t="shared" si="19"/>
        <v>-3.2</v>
      </c>
      <c r="M74" s="5">
        <f t="shared" si="20"/>
        <v>-2.9</v>
      </c>
      <c r="N74" s="20" t="str">
        <f t="shared" si="21"/>
        <v>-</v>
      </c>
      <c r="O74" s="30">
        <f t="shared" si="12"/>
        <v>9.9708938361591504E-3</v>
      </c>
      <c r="P74" s="30">
        <f t="shared" si="13"/>
        <v>-5.572186673799237E-2</v>
      </c>
    </row>
    <row r="75" spans="2:16" x14ac:dyDescent="0.25">
      <c r="B75" t="str">
        <f>Levels!M75</f>
        <v>The Green 5</v>
      </c>
      <c r="C75" s="27">
        <f>ROUND(Levels!O75, 1)</f>
        <v>64.599999999999994</v>
      </c>
      <c r="D75" s="27">
        <f>ROUND(Levels!Q75, 1)</f>
        <v>65.099999999999994</v>
      </c>
      <c r="E75" s="27">
        <f>ROUND(Levels!P75, 1)</f>
        <v>61</v>
      </c>
      <c r="F75" s="27">
        <f>ROUND(Levels!R75,1)</f>
        <v>61.9</v>
      </c>
      <c r="G75" s="5">
        <f t="shared" si="14"/>
        <v>-3.6</v>
      </c>
      <c r="H75" s="26" t="str">
        <f t="shared" si="15"/>
        <v>-</v>
      </c>
      <c r="I75" s="5">
        <f t="shared" si="16"/>
        <v>0.5</v>
      </c>
      <c r="J75" s="5">
        <f t="shared" si="17"/>
        <v>0.5</v>
      </c>
      <c r="K75" s="5" t="str">
        <f t="shared" si="18"/>
        <v>Negligible</v>
      </c>
      <c r="L75" s="5">
        <f t="shared" si="19"/>
        <v>-2.7</v>
      </c>
      <c r="M75" s="5">
        <f t="shared" si="20"/>
        <v>-2.4</v>
      </c>
      <c r="N75" s="20" t="str">
        <f t="shared" si="21"/>
        <v>-</v>
      </c>
      <c r="O75" s="30">
        <f t="shared" si="12"/>
        <v>1.0109430235944544E-2</v>
      </c>
      <c r="P75" s="30">
        <f t="shared" si="13"/>
        <v>-4.8651554059817415E-2</v>
      </c>
    </row>
    <row r="76" spans="2:16" x14ac:dyDescent="0.25">
      <c r="B76" t="str">
        <f>Levels!M76</f>
        <v>The Green 12</v>
      </c>
      <c r="C76" s="27">
        <f>ROUND(Levels!O76, 1)</f>
        <v>56.3</v>
      </c>
      <c r="D76" s="27">
        <f>ROUND(Levels!Q76, 1)</f>
        <v>56.8</v>
      </c>
      <c r="E76" s="27">
        <f>ROUND(Levels!P76, 1)</f>
        <v>56.2</v>
      </c>
      <c r="F76" s="27">
        <f>ROUND(Levels!R76,1)</f>
        <v>56.9</v>
      </c>
      <c r="G76" s="5">
        <f t="shared" si="14"/>
        <v>-0.1</v>
      </c>
      <c r="H76" s="26" t="str">
        <f t="shared" si="15"/>
        <v>-</v>
      </c>
      <c r="I76" s="5">
        <f t="shared" si="16"/>
        <v>0.5</v>
      </c>
      <c r="J76" s="5">
        <f t="shared" si="17"/>
        <v>0.5</v>
      </c>
      <c r="K76" s="5" t="str">
        <f t="shared" si="18"/>
        <v>Negligible</v>
      </c>
      <c r="L76" s="5">
        <f t="shared" si="19"/>
        <v>0.6</v>
      </c>
      <c r="M76" s="5">
        <f t="shared" si="20"/>
        <v>0.5</v>
      </c>
      <c r="N76" s="20" t="str">
        <f t="shared" si="21"/>
        <v>Negligible</v>
      </c>
      <c r="O76" s="30">
        <f t="shared" si="12"/>
        <v>4.9939753693192257E-3</v>
      </c>
      <c r="P76" s="30">
        <f t="shared" si="13"/>
        <v>6.0223880527923435E-3</v>
      </c>
    </row>
    <row r="77" spans="2:16" x14ac:dyDescent="0.25">
      <c r="B77" t="str">
        <f>Levels!M77</f>
        <v>The Green 12b</v>
      </c>
      <c r="C77" s="27">
        <f>ROUND(Levels!O77, 1)</f>
        <v>57</v>
      </c>
      <c r="D77" s="27">
        <f>ROUND(Levels!Q77, 1)</f>
        <v>57.5</v>
      </c>
      <c r="E77" s="27">
        <f>ROUND(Levels!P77, 1)</f>
        <v>56.9</v>
      </c>
      <c r="F77" s="27">
        <f>ROUND(Levels!R77,1)</f>
        <v>57.6</v>
      </c>
      <c r="G77" s="5">
        <f t="shared" si="14"/>
        <v>-0.1</v>
      </c>
      <c r="H77" s="26" t="str">
        <f t="shared" si="15"/>
        <v>-</v>
      </c>
      <c r="I77" s="5">
        <f t="shared" si="16"/>
        <v>0.5</v>
      </c>
      <c r="J77" s="5">
        <f t="shared" si="17"/>
        <v>0.5</v>
      </c>
      <c r="K77" s="5" t="str">
        <f t="shared" si="18"/>
        <v>Negligible</v>
      </c>
      <c r="L77" s="5">
        <f t="shared" si="19"/>
        <v>0.6</v>
      </c>
      <c r="M77" s="5">
        <f t="shared" si="20"/>
        <v>0.5</v>
      </c>
      <c r="N77" s="20" t="str">
        <f t="shared" si="21"/>
        <v>Negligible</v>
      </c>
      <c r="O77" s="30">
        <f t="shared" si="12"/>
        <v>5.3453861869438152E-3</v>
      </c>
      <c r="P77" s="30">
        <f t="shared" si="13"/>
        <v>6.445589019958925E-3</v>
      </c>
    </row>
    <row r="78" spans="2:16" x14ac:dyDescent="0.25">
      <c r="B78" t="str">
        <f>Levels!M78</f>
        <v>The Green 15</v>
      </c>
      <c r="C78" s="27">
        <f>ROUND(Levels!O78, 1)</f>
        <v>67</v>
      </c>
      <c r="D78" s="27">
        <f>ROUND(Levels!Q78, 1)</f>
        <v>68</v>
      </c>
      <c r="E78" s="27">
        <f>ROUND(Levels!P78, 1)</f>
        <v>61.8</v>
      </c>
      <c r="F78" s="27">
        <f>ROUND(Levels!R78,1)</f>
        <v>63.1</v>
      </c>
      <c r="G78" s="5">
        <f t="shared" si="14"/>
        <v>-5.2</v>
      </c>
      <c r="H78" s="26" t="str">
        <f t="shared" si="15"/>
        <v>-</v>
      </c>
      <c r="I78" s="5">
        <f t="shared" si="16"/>
        <v>1</v>
      </c>
      <c r="J78" s="5">
        <f t="shared" si="17"/>
        <v>0.9</v>
      </c>
      <c r="K78" s="5" t="str">
        <f t="shared" si="18"/>
        <v>Negligible</v>
      </c>
      <c r="L78" s="5">
        <f t="shared" si="19"/>
        <v>-3.9</v>
      </c>
      <c r="M78" s="5">
        <f t="shared" si="20"/>
        <v>-3.5</v>
      </c>
      <c r="N78" s="20" t="str">
        <f t="shared" si="21"/>
        <v>-</v>
      </c>
      <c r="O78" s="30">
        <f t="shared" si="12"/>
        <v>2.3807900383259195E-2</v>
      </c>
      <c r="P78" s="30">
        <f t="shared" si="13"/>
        <v>-7.9914611709779509E-2</v>
      </c>
    </row>
    <row r="79" spans="2:16" x14ac:dyDescent="0.25">
      <c r="B79" t="str">
        <f>Levels!M79</f>
        <v>The Green 16</v>
      </c>
      <c r="C79" s="27">
        <f>ROUND(Levels!O79, 1)</f>
        <v>67.599999999999994</v>
      </c>
      <c r="D79" s="27">
        <f>ROUND(Levels!Q79, 1)</f>
        <v>68.599999999999994</v>
      </c>
      <c r="E79" s="27">
        <f>ROUND(Levels!P79, 1)</f>
        <v>62.1</v>
      </c>
      <c r="F79" s="27">
        <f>ROUND(Levels!R79,1)</f>
        <v>63.5</v>
      </c>
      <c r="G79" s="5">
        <f t="shared" si="14"/>
        <v>-5.5</v>
      </c>
      <c r="H79" s="26" t="str">
        <f t="shared" si="15"/>
        <v>-</v>
      </c>
      <c r="I79" s="5">
        <f t="shared" si="16"/>
        <v>1</v>
      </c>
      <c r="J79" s="5">
        <f t="shared" si="17"/>
        <v>0.9</v>
      </c>
      <c r="K79" s="5" t="str">
        <f t="shared" si="18"/>
        <v>Negligible</v>
      </c>
      <c r="L79" s="5">
        <f t="shared" si="19"/>
        <v>-4.0999999999999996</v>
      </c>
      <c r="M79" s="5">
        <f t="shared" si="20"/>
        <v>-3.7</v>
      </c>
      <c r="N79" s="20" t="str">
        <f t="shared" si="21"/>
        <v>-</v>
      </c>
      <c r="O79" s="30">
        <f t="shared" si="12"/>
        <v>2.457324732464522E-2</v>
      </c>
      <c r="P79" s="30">
        <f t="shared" si="13"/>
        <v>-8.681199885199814E-2</v>
      </c>
    </row>
    <row r="80" spans="2:16" x14ac:dyDescent="0.25">
      <c r="B80" t="str">
        <f>Levels!M80</f>
        <v>The Green 1</v>
      </c>
      <c r="C80" s="27">
        <f>ROUND(Levels!O80, 1)</f>
        <v>62.7</v>
      </c>
      <c r="D80" s="27">
        <f>ROUND(Levels!Q80, 1)</f>
        <v>62.9</v>
      </c>
      <c r="E80" s="27">
        <f>ROUND(Levels!P80, 1)</f>
        <v>58.6</v>
      </c>
      <c r="F80" s="27">
        <f>ROUND(Levels!R80,1)</f>
        <v>59.3</v>
      </c>
      <c r="G80" s="5">
        <f t="shared" si="14"/>
        <v>-4.0999999999999996</v>
      </c>
      <c r="H80" s="26" t="str">
        <f t="shared" si="15"/>
        <v>-</v>
      </c>
      <c r="I80" s="5">
        <f t="shared" si="16"/>
        <v>0.2</v>
      </c>
      <c r="J80" s="5">
        <f t="shared" si="17"/>
        <v>0.2</v>
      </c>
      <c r="K80" s="5" t="str">
        <f t="shared" si="18"/>
        <v>Negligible</v>
      </c>
      <c r="L80" s="5">
        <f t="shared" si="19"/>
        <v>-3.4</v>
      </c>
      <c r="M80" s="5">
        <f t="shared" si="20"/>
        <v>-3.1</v>
      </c>
      <c r="N80" s="20" t="str">
        <f t="shared" si="21"/>
        <v>-</v>
      </c>
      <c r="O80" s="30">
        <f t="shared" si="12"/>
        <v>3.4798798882387239E-3</v>
      </c>
      <c r="P80" s="30">
        <f t="shared" si="13"/>
        <v>-5.118656305111878E-2</v>
      </c>
    </row>
    <row r="81" spans="2:16" x14ac:dyDescent="0.25">
      <c r="B81" t="str">
        <f>Levels!M81</f>
        <v>The Green 43</v>
      </c>
      <c r="C81" s="27">
        <f>ROUND(Levels!O81, 1)</f>
        <v>65.5</v>
      </c>
      <c r="D81" s="27">
        <f>ROUND(Levels!Q81, 1)</f>
        <v>65.8</v>
      </c>
      <c r="E81" s="27">
        <f>ROUND(Levels!P81, 1)</f>
        <v>62.4</v>
      </c>
      <c r="F81" s="27">
        <f>ROUND(Levels!R81,1)</f>
        <v>63.2</v>
      </c>
      <c r="G81" s="5">
        <f t="shared" si="14"/>
        <v>-3.1</v>
      </c>
      <c r="H81" s="26" t="str">
        <f t="shared" si="15"/>
        <v>-</v>
      </c>
      <c r="I81" s="5">
        <f t="shared" si="16"/>
        <v>0.3</v>
      </c>
      <c r="J81" s="5">
        <f t="shared" si="17"/>
        <v>0.3</v>
      </c>
      <c r="K81" s="5" t="str">
        <f t="shared" si="18"/>
        <v>Negligible</v>
      </c>
      <c r="L81" s="5">
        <f t="shared" si="19"/>
        <v>-2.2999999999999998</v>
      </c>
      <c r="M81" s="5">
        <f t="shared" si="20"/>
        <v>-2.1</v>
      </c>
      <c r="N81" s="20" t="str">
        <f t="shared" si="21"/>
        <v>-</v>
      </c>
      <c r="O81" s="30">
        <f t="shared" si="12"/>
        <v>6.397297381004502E-3</v>
      </c>
      <c r="P81" s="30">
        <f t="shared" si="13"/>
        <v>-4.4913582950438291E-2</v>
      </c>
    </row>
    <row r="82" spans="2:16" x14ac:dyDescent="0.25">
      <c r="B82" t="str">
        <f>Levels!M82</f>
        <v>The Green 33</v>
      </c>
      <c r="C82" s="27">
        <f>ROUND(Levels!O82, 1)</f>
        <v>64.2</v>
      </c>
      <c r="D82" s="27">
        <f>ROUND(Levels!Q82, 1)</f>
        <v>64.7</v>
      </c>
      <c r="E82" s="27">
        <f>ROUND(Levels!P82, 1)</f>
        <v>60.4</v>
      </c>
      <c r="F82" s="27">
        <f>ROUND(Levels!R82,1)</f>
        <v>61.3</v>
      </c>
      <c r="G82" s="5">
        <f t="shared" si="14"/>
        <v>-3.8</v>
      </c>
      <c r="H82" s="26" t="str">
        <f t="shared" si="15"/>
        <v>-</v>
      </c>
      <c r="I82" s="5">
        <f t="shared" si="16"/>
        <v>0.5</v>
      </c>
      <c r="J82" s="5">
        <f t="shared" si="17"/>
        <v>0.5</v>
      </c>
      <c r="K82" s="5" t="str">
        <f t="shared" si="18"/>
        <v>Negligible</v>
      </c>
      <c r="L82" s="5">
        <f t="shared" si="19"/>
        <v>-2.9</v>
      </c>
      <c r="M82" s="5">
        <f t="shared" si="20"/>
        <v>-2.6</v>
      </c>
      <c r="N82" s="20" t="str">
        <f t="shared" si="21"/>
        <v>-</v>
      </c>
      <c r="O82" s="30">
        <f t="shared" si="12"/>
        <v>9.8323733918868617E-3</v>
      </c>
      <c r="P82" s="30">
        <f t="shared" si="13"/>
        <v>-5.0295530097327151E-2</v>
      </c>
    </row>
    <row r="83" spans="2:16" x14ac:dyDescent="0.25">
      <c r="B83" t="str">
        <f>Levels!M83</f>
        <v>Westall</v>
      </c>
      <c r="C83" s="27">
        <f>ROUND(Levels!O83, 1)</f>
        <v>64.2</v>
      </c>
      <c r="D83" s="27">
        <f>ROUND(Levels!Q83, 1)</f>
        <v>64.599999999999994</v>
      </c>
      <c r="E83" s="27">
        <f>ROUND(Levels!P83, 1)</f>
        <v>60.2</v>
      </c>
      <c r="F83" s="27">
        <f>ROUND(Levels!R83,1)</f>
        <v>61</v>
      </c>
      <c r="G83" s="5">
        <f t="shared" si="14"/>
        <v>-4</v>
      </c>
      <c r="H83" s="26" t="str">
        <f t="shared" si="15"/>
        <v>-</v>
      </c>
      <c r="I83" s="5">
        <f t="shared" si="16"/>
        <v>0.4</v>
      </c>
      <c r="J83" s="5">
        <f t="shared" si="17"/>
        <v>0.4</v>
      </c>
      <c r="K83" s="5" t="str">
        <f t="shared" si="18"/>
        <v>Negligible</v>
      </c>
      <c r="L83" s="5">
        <f t="shared" si="19"/>
        <v>-3.2</v>
      </c>
      <c r="M83" s="5">
        <f t="shared" si="20"/>
        <v>-2.9</v>
      </c>
      <c r="N83" s="20" t="str">
        <f t="shared" si="21"/>
        <v>-</v>
      </c>
      <c r="O83" s="30">
        <f t="shared" si="12"/>
        <v>7.8381954515725771E-3</v>
      </c>
      <c r="P83" s="30">
        <f t="shared" si="13"/>
        <v>-5.4861845845823681E-2</v>
      </c>
    </row>
    <row r="84" spans="2:16" x14ac:dyDescent="0.25">
      <c r="B84" t="str">
        <f>Levels!M84</f>
        <v>Ivanhoe</v>
      </c>
      <c r="C84" s="27">
        <f>ROUND(Levels!O84, 1)</f>
        <v>64.2</v>
      </c>
      <c r="D84" s="27">
        <f>ROUND(Levels!Q84, 1)</f>
        <v>64.7</v>
      </c>
      <c r="E84" s="27">
        <f>ROUND(Levels!P84, 1)</f>
        <v>60</v>
      </c>
      <c r="F84" s="27">
        <f>ROUND(Levels!R84,1)</f>
        <v>60.9</v>
      </c>
      <c r="G84" s="5">
        <f t="shared" si="14"/>
        <v>-4.2</v>
      </c>
      <c r="H84" s="26" t="str">
        <f t="shared" si="15"/>
        <v>-</v>
      </c>
      <c r="I84" s="5">
        <f t="shared" si="16"/>
        <v>0.5</v>
      </c>
      <c r="J84" s="5">
        <f t="shared" si="17"/>
        <v>0.5</v>
      </c>
      <c r="K84" s="5" t="str">
        <f t="shared" si="18"/>
        <v>Negligible</v>
      </c>
      <c r="L84" s="5">
        <f t="shared" si="19"/>
        <v>-3.3</v>
      </c>
      <c r="M84" s="5">
        <f t="shared" si="20"/>
        <v>-3</v>
      </c>
      <c r="N84" s="20" t="str">
        <f t="shared" si="21"/>
        <v>-</v>
      </c>
      <c r="O84" s="30">
        <f t="shared" si="12"/>
        <v>9.8323733918868617E-3</v>
      </c>
      <c r="P84" s="30">
        <f t="shared" si="13"/>
        <v>-5.6358399950126287E-2</v>
      </c>
    </row>
    <row r="85" spans="2:16" x14ac:dyDescent="0.25">
      <c r="B85" t="str">
        <f>Levels!M85</f>
        <v>Kelvin</v>
      </c>
      <c r="C85" s="27">
        <f>ROUND(Levels!O85, 1)</f>
        <v>63.9</v>
      </c>
      <c r="D85" s="27">
        <f>ROUND(Levels!Q85, 1)</f>
        <v>64.3</v>
      </c>
      <c r="E85" s="27">
        <f>ROUND(Levels!P85, 1)</f>
        <v>59.6</v>
      </c>
      <c r="F85" s="27">
        <f>ROUND(Levels!R85,1)</f>
        <v>60.6</v>
      </c>
      <c r="G85" s="5">
        <f t="shared" si="14"/>
        <v>-4.3</v>
      </c>
      <c r="H85" s="26" t="str">
        <f t="shared" si="15"/>
        <v>-</v>
      </c>
      <c r="I85" s="5">
        <f t="shared" si="16"/>
        <v>0.4</v>
      </c>
      <c r="J85" s="5">
        <f t="shared" si="17"/>
        <v>0.4</v>
      </c>
      <c r="K85" s="5" t="str">
        <f t="shared" si="18"/>
        <v>Negligible</v>
      </c>
      <c r="L85" s="5">
        <f t="shared" si="19"/>
        <v>-3.3</v>
      </c>
      <c r="M85" s="5">
        <f t="shared" si="20"/>
        <v>-3</v>
      </c>
      <c r="N85" s="20" t="str">
        <f t="shared" si="21"/>
        <v>-</v>
      </c>
      <c r="O85" s="30">
        <f t="shared" si="12"/>
        <v>7.6721710355051875E-3</v>
      </c>
      <c r="P85" s="30">
        <f t="shared" si="13"/>
        <v>-5.5038777905343672E-2</v>
      </c>
    </row>
    <row r="86" spans="2:16" x14ac:dyDescent="0.25">
      <c r="B86" t="str">
        <f>Levels!M86</f>
        <v>St HIlda's Terrace</v>
      </c>
      <c r="C86" s="27">
        <f>ROUND(Levels!O86, 1)</f>
        <v>64.3</v>
      </c>
      <c r="D86" s="27">
        <f>ROUND(Levels!Q86, 1)</f>
        <v>65.099999999999994</v>
      </c>
      <c r="E86" s="27">
        <f>ROUND(Levels!P86, 1)</f>
        <v>60.9</v>
      </c>
      <c r="F86" s="27">
        <f>ROUND(Levels!R86,1)</f>
        <v>61.9</v>
      </c>
      <c r="G86" s="5">
        <f t="shared" si="14"/>
        <v>-3.4</v>
      </c>
      <c r="H86" s="26" t="str">
        <f t="shared" si="15"/>
        <v>-</v>
      </c>
      <c r="I86" s="5">
        <f t="shared" si="16"/>
        <v>0.8</v>
      </c>
      <c r="J86" s="5">
        <f t="shared" si="17"/>
        <v>0.7</v>
      </c>
      <c r="K86" s="5" t="str">
        <f t="shared" si="18"/>
        <v>Negligible</v>
      </c>
      <c r="L86" s="5">
        <f t="shared" si="19"/>
        <v>-2.4</v>
      </c>
      <c r="M86" s="5">
        <f t="shared" si="20"/>
        <v>-2.2000000000000002</v>
      </c>
      <c r="N86" s="20" t="str">
        <f t="shared" si="21"/>
        <v>-</v>
      </c>
      <c r="O86" s="30">
        <f t="shared" si="12"/>
        <v>1.6008844800298572E-2</v>
      </c>
      <c r="P86" s="30">
        <f t="shared" si="13"/>
        <v>-4.2752139495463387E-2</v>
      </c>
    </row>
    <row r="87" spans="2:16" x14ac:dyDescent="0.25">
      <c r="B87" t="str">
        <f>Levels!M87</f>
        <v>Greenwyas</v>
      </c>
      <c r="C87" s="27">
        <f>ROUND(Levels!O87, 1)</f>
        <v>64.8</v>
      </c>
      <c r="D87" s="27">
        <f>ROUND(Levels!Q87, 1)</f>
        <v>65.599999999999994</v>
      </c>
      <c r="E87" s="27">
        <f>ROUND(Levels!P87, 1)</f>
        <v>61.1</v>
      </c>
      <c r="F87" s="27">
        <f>ROUND(Levels!R87,1)</f>
        <v>62.2</v>
      </c>
      <c r="G87" s="5">
        <f t="shared" si="14"/>
        <v>-3.7</v>
      </c>
      <c r="H87" s="26" t="str">
        <f t="shared" si="15"/>
        <v>-</v>
      </c>
      <c r="I87" s="5">
        <f t="shared" si="16"/>
        <v>0.8</v>
      </c>
      <c r="J87" s="5">
        <f t="shared" si="17"/>
        <v>0.7</v>
      </c>
      <c r="K87" s="5" t="str">
        <f t="shared" si="18"/>
        <v>Negligible</v>
      </c>
      <c r="L87" s="5">
        <f t="shared" si="19"/>
        <v>-2.6</v>
      </c>
      <c r="M87" s="5">
        <f t="shared" si="20"/>
        <v>-2.2999999999999998</v>
      </c>
      <c r="N87" s="20" t="str">
        <f t="shared" si="21"/>
        <v>-</v>
      </c>
      <c r="O87" s="30">
        <f t="shared" si="12"/>
        <v>1.6562525987165733E-2</v>
      </c>
      <c r="P87" s="30">
        <f t="shared" si="13"/>
        <v>-4.7735335127619016E-2</v>
      </c>
    </row>
    <row r="88" spans="2:16" x14ac:dyDescent="0.25">
      <c r="B88" t="str">
        <f>Levels!M88</f>
        <v>HIllcroft</v>
      </c>
      <c r="C88" s="27">
        <f>ROUND(Levels!O88, 1)</f>
        <v>64.900000000000006</v>
      </c>
      <c r="D88" s="27">
        <f>ROUND(Levels!Q88, 1)</f>
        <v>65.7</v>
      </c>
      <c r="E88" s="27">
        <f>ROUND(Levels!P88, 1)</f>
        <v>61.1</v>
      </c>
      <c r="F88" s="27">
        <f>ROUND(Levels!R88,1)</f>
        <v>62.2</v>
      </c>
      <c r="G88" s="5">
        <f t="shared" si="14"/>
        <v>-3.8</v>
      </c>
      <c r="H88" s="26" t="str">
        <f t="shared" si="15"/>
        <v>-</v>
      </c>
      <c r="I88" s="5">
        <f t="shared" si="16"/>
        <v>0.8</v>
      </c>
      <c r="J88" s="5">
        <f t="shared" si="17"/>
        <v>0.7</v>
      </c>
      <c r="K88" s="5" t="str">
        <f t="shared" si="18"/>
        <v>Negligible</v>
      </c>
      <c r="L88" s="5">
        <f t="shared" si="19"/>
        <v>-2.7</v>
      </c>
      <c r="M88" s="5">
        <f t="shared" si="20"/>
        <v>-2.4</v>
      </c>
      <c r="N88" s="20" t="str">
        <f t="shared" si="21"/>
        <v>-</v>
      </c>
      <c r="O88" s="30">
        <f t="shared" si="12"/>
        <v>1.6673075984005387E-2</v>
      </c>
      <c r="P88" s="30">
        <f t="shared" si="13"/>
        <v>-4.9757224370205549E-2</v>
      </c>
    </row>
    <row r="89" spans="2:16" x14ac:dyDescent="0.25">
      <c r="B89" t="str">
        <f>Levels!M89</f>
        <v>The Croft</v>
      </c>
      <c r="C89" s="27">
        <f>ROUND(Levels!O89, 1)</f>
        <v>65.400000000000006</v>
      </c>
      <c r="D89" s="27">
        <f>ROUND(Levels!Q89, 1)</f>
        <v>66.2</v>
      </c>
      <c r="E89" s="27">
        <f>ROUND(Levels!P89, 1)</f>
        <v>61.5</v>
      </c>
      <c r="F89" s="27">
        <f>ROUND(Levels!R89,1)</f>
        <v>62.6</v>
      </c>
      <c r="G89" s="5">
        <f t="shared" si="14"/>
        <v>-3.9</v>
      </c>
      <c r="H89" s="26" t="str">
        <f t="shared" si="15"/>
        <v>-</v>
      </c>
      <c r="I89" s="5">
        <f t="shared" si="16"/>
        <v>0.8</v>
      </c>
      <c r="J89" s="5">
        <f t="shared" si="17"/>
        <v>0.7</v>
      </c>
      <c r="K89" s="5" t="str">
        <f t="shared" si="18"/>
        <v>Negligible</v>
      </c>
      <c r="L89" s="5">
        <f t="shared" si="19"/>
        <v>-2.8</v>
      </c>
      <c r="M89" s="5">
        <f t="shared" si="20"/>
        <v>-2.5</v>
      </c>
      <c r="N89" s="20" t="str">
        <f t="shared" si="21"/>
        <v>-</v>
      </c>
      <c r="O89" s="30">
        <f t="shared" si="12"/>
        <v>1.7223951911307267E-2</v>
      </c>
      <c r="P89" s="30">
        <f t="shared" si="13"/>
        <v>-5.3329876177813401E-2</v>
      </c>
    </row>
    <row r="90" spans="2:16" x14ac:dyDescent="0.25">
      <c r="B90" t="str">
        <f>Levels!M90</f>
        <v>Institue</v>
      </c>
      <c r="C90" s="27">
        <f>ROUND(Levels!O90, 1)</f>
        <v>66.2</v>
      </c>
      <c r="D90" s="27">
        <f>ROUND(Levels!Q90, 1)</f>
        <v>67</v>
      </c>
      <c r="E90" s="27">
        <f>ROUND(Levels!P90, 1)</f>
        <v>62</v>
      </c>
      <c r="F90" s="27">
        <f>ROUND(Levels!R90,1)</f>
        <v>63.1</v>
      </c>
      <c r="G90" s="5">
        <f t="shared" si="14"/>
        <v>-4.2</v>
      </c>
      <c r="H90" s="26" t="str">
        <f t="shared" si="15"/>
        <v>-</v>
      </c>
      <c r="I90" s="5">
        <f t="shared" si="16"/>
        <v>0.8</v>
      </c>
      <c r="J90" s="5">
        <f t="shared" si="17"/>
        <v>0.7</v>
      </c>
      <c r="K90" s="5" t="str">
        <f t="shared" si="18"/>
        <v>Negligible</v>
      </c>
      <c r="L90" s="5">
        <f t="shared" si="19"/>
        <v>-3.1</v>
      </c>
      <c r="M90" s="5">
        <f t="shared" si="20"/>
        <v>-2.8</v>
      </c>
      <c r="N90" s="20" t="str">
        <f t="shared" si="21"/>
        <v>-</v>
      </c>
      <c r="O90" s="30">
        <f t="shared" si="12"/>
        <v>1.8094471340418139E-2</v>
      </c>
      <c r="P90" s="30">
        <f t="shared" si="13"/>
        <v>-6.182014036936137E-2</v>
      </c>
    </row>
    <row r="91" spans="2:16" x14ac:dyDescent="0.25">
      <c r="B91" t="str">
        <f>Levels!M91</f>
        <v>Nettherby</v>
      </c>
      <c r="C91" s="27">
        <f>ROUND(Levels!O91, 1)</f>
        <v>66.3</v>
      </c>
      <c r="D91" s="27">
        <f>ROUND(Levels!Q91, 1)</f>
        <v>67.2</v>
      </c>
      <c r="E91" s="27">
        <f>ROUND(Levels!P91, 1)</f>
        <v>62</v>
      </c>
      <c r="F91" s="27">
        <f>ROUND(Levels!R91,1)</f>
        <v>63.2</v>
      </c>
      <c r="G91" s="5">
        <f t="shared" si="14"/>
        <v>-4.3</v>
      </c>
      <c r="H91" s="26" t="str">
        <f t="shared" si="15"/>
        <v>-</v>
      </c>
      <c r="I91" s="5">
        <f t="shared" si="16"/>
        <v>0.9</v>
      </c>
      <c r="J91" s="5">
        <f t="shared" si="17"/>
        <v>0.8</v>
      </c>
      <c r="K91" s="5" t="str">
        <f t="shared" si="18"/>
        <v>Negligible</v>
      </c>
      <c r="L91" s="5">
        <f t="shared" si="19"/>
        <v>-3.1</v>
      </c>
      <c r="M91" s="5">
        <f t="shared" si="20"/>
        <v>-2.8</v>
      </c>
      <c r="N91" s="20" t="str">
        <f t="shared" si="21"/>
        <v>-</v>
      </c>
      <c r="O91" s="30">
        <f t="shared" si="12"/>
        <v>2.0537205366234573E-2</v>
      </c>
      <c r="P91" s="30">
        <f t="shared" si="13"/>
        <v>-6.2247211019613891E-2</v>
      </c>
    </row>
    <row r="92" spans="2:16" x14ac:dyDescent="0.25">
      <c r="B92" t="str">
        <f>Levels!M92</f>
        <v>Hannover House</v>
      </c>
      <c r="C92" s="27">
        <f>ROUND(Levels!O92, 1)</f>
        <v>65.7</v>
      </c>
      <c r="D92" s="27">
        <f>ROUND(Levels!Q92, 1)</f>
        <v>66.5</v>
      </c>
      <c r="E92" s="27">
        <f>ROUND(Levels!P92, 1)</f>
        <v>61.5</v>
      </c>
      <c r="F92" s="27">
        <f>ROUND(Levels!R92,1)</f>
        <v>62.7</v>
      </c>
      <c r="G92" s="5">
        <f t="shared" si="14"/>
        <v>-4.2</v>
      </c>
      <c r="H92" s="26" t="str">
        <f t="shared" si="15"/>
        <v>-</v>
      </c>
      <c r="I92" s="5">
        <f t="shared" si="16"/>
        <v>0.8</v>
      </c>
      <c r="J92" s="5">
        <f t="shared" si="17"/>
        <v>0.7</v>
      </c>
      <c r="K92" s="5" t="str">
        <f t="shared" si="18"/>
        <v>Negligible</v>
      </c>
      <c r="L92" s="5">
        <f t="shared" si="19"/>
        <v>-3</v>
      </c>
      <c r="M92" s="5">
        <f t="shared" si="20"/>
        <v>-2.7</v>
      </c>
      <c r="N92" s="20" t="str">
        <f t="shared" si="21"/>
        <v>-</v>
      </c>
      <c r="O92" s="30">
        <f t="shared" si="12"/>
        <v>1.7552335965242333E-2</v>
      </c>
      <c r="P92" s="30">
        <f t="shared" si="13"/>
        <v>-5.7966187979251932E-2</v>
      </c>
    </row>
    <row r="93" spans="2:16" x14ac:dyDescent="0.25">
      <c r="B93" t="str">
        <f>Levels!M93</f>
        <v>Sycamore House</v>
      </c>
      <c r="C93" s="27">
        <f>ROUND(Levels!O93, 1)</f>
        <v>63.3</v>
      </c>
      <c r="D93" s="27">
        <f>ROUND(Levels!Q93, 1)</f>
        <v>64.2</v>
      </c>
      <c r="E93" s="27">
        <f>ROUND(Levels!P93, 1)</f>
        <v>59.1</v>
      </c>
      <c r="F93" s="27">
        <f>ROUND(Levels!R93,1)</f>
        <v>60.3</v>
      </c>
      <c r="G93" s="5">
        <f t="shared" si="14"/>
        <v>-4.2</v>
      </c>
      <c r="H93" s="26" t="str">
        <f t="shared" si="15"/>
        <v>-</v>
      </c>
      <c r="I93" s="5">
        <f t="shared" si="16"/>
        <v>0.9</v>
      </c>
      <c r="J93" s="5">
        <f t="shared" si="17"/>
        <v>0.8</v>
      </c>
      <c r="K93" s="5" t="str">
        <f t="shared" si="18"/>
        <v>Negligible</v>
      </c>
      <c r="L93" s="5">
        <f t="shared" si="19"/>
        <v>-3</v>
      </c>
      <c r="M93" s="5">
        <f t="shared" si="20"/>
        <v>-2.7</v>
      </c>
      <c r="N93" s="20" t="str">
        <f t="shared" si="21"/>
        <v>-</v>
      </c>
      <c r="O93" s="30">
        <f t="shared" si="12"/>
        <v>1.6828182642662004E-2</v>
      </c>
      <c r="P93" s="30">
        <f t="shared" si="13"/>
        <v>-4.824509693406584E-2</v>
      </c>
    </row>
    <row r="94" spans="2:16" x14ac:dyDescent="0.25">
      <c r="B94" t="str">
        <f>Levels!M94</f>
        <v>High Garth</v>
      </c>
      <c r="C94" s="27">
        <f>ROUND(Levels!O94, 1)</f>
        <v>63.4</v>
      </c>
      <c r="D94" s="27">
        <f>ROUND(Levels!Q94, 1)</f>
        <v>64.3</v>
      </c>
      <c r="E94" s="27">
        <f>ROUND(Levels!P94, 1)</f>
        <v>59</v>
      </c>
      <c r="F94" s="27">
        <f>ROUND(Levels!R94,1)</f>
        <v>60.2</v>
      </c>
      <c r="G94" s="5">
        <f t="shared" si="14"/>
        <v>-4.4000000000000004</v>
      </c>
      <c r="H94" s="26" t="str">
        <f t="shared" si="15"/>
        <v>-</v>
      </c>
      <c r="I94" s="5">
        <f t="shared" si="16"/>
        <v>0.9</v>
      </c>
      <c r="J94" s="5">
        <f t="shared" si="17"/>
        <v>0.8</v>
      </c>
      <c r="K94" s="5" t="str">
        <f t="shared" si="18"/>
        <v>Negligible</v>
      </c>
      <c r="L94" s="5">
        <f t="shared" si="19"/>
        <v>-3.2</v>
      </c>
      <c r="M94" s="5">
        <f t="shared" si="20"/>
        <v>-2.9</v>
      </c>
      <c r="N94" s="20" t="str">
        <f t="shared" si="21"/>
        <v>-</v>
      </c>
      <c r="O94" s="30">
        <f t="shared" si="12"/>
        <v>1.6952152397651271E-2</v>
      </c>
      <c r="P94" s="30">
        <f t="shared" si="13"/>
        <v>-5.1468847999001754E-2</v>
      </c>
    </row>
    <row r="95" spans="2:16" x14ac:dyDescent="0.25">
      <c r="B95" t="str">
        <f>Levels!M95</f>
        <v>Hill Lodge</v>
      </c>
      <c r="C95" s="27">
        <f>ROUND(Levels!O95, 1)</f>
        <v>63</v>
      </c>
      <c r="D95" s="27">
        <f>ROUND(Levels!Q95, 1)</f>
        <v>63.9</v>
      </c>
      <c r="E95" s="27">
        <f>ROUND(Levels!P95, 1)</f>
        <v>59.8</v>
      </c>
      <c r="F95" s="27">
        <f>ROUND(Levels!R95,1)</f>
        <v>60.8</v>
      </c>
      <c r="G95" s="5">
        <f t="shared" si="14"/>
        <v>-3.2</v>
      </c>
      <c r="H95" s="26" t="str">
        <f t="shared" si="15"/>
        <v>-</v>
      </c>
      <c r="I95" s="5">
        <f t="shared" si="16"/>
        <v>0.9</v>
      </c>
      <c r="J95" s="5">
        <f t="shared" si="17"/>
        <v>0.8</v>
      </c>
      <c r="K95" s="5" t="str">
        <f t="shared" si="18"/>
        <v>Negligible</v>
      </c>
      <c r="L95" s="5">
        <f t="shared" si="19"/>
        <v>-2.2000000000000002</v>
      </c>
      <c r="M95" s="5">
        <f t="shared" si="20"/>
        <v>-2</v>
      </c>
      <c r="N95" s="20" t="str">
        <f t="shared" si="21"/>
        <v>-</v>
      </c>
      <c r="O95" s="30">
        <f t="shared" si="12"/>
        <v>1.6457276091592671E-2</v>
      </c>
      <c r="P95" s="30">
        <f t="shared" si="13"/>
        <v>-3.5651601875178796E-2</v>
      </c>
    </row>
    <row r="96" spans="2:16" x14ac:dyDescent="0.25">
      <c r="B96" t="str">
        <f>Levels!M96</f>
        <v>Shindells</v>
      </c>
      <c r="C96" s="27">
        <f>ROUND(Levels!O96, 1)</f>
        <v>65.599999999999994</v>
      </c>
      <c r="D96" s="27">
        <f>ROUND(Levels!Q96, 1)</f>
        <v>66.599999999999994</v>
      </c>
      <c r="E96" s="27">
        <f>ROUND(Levels!P96, 1)</f>
        <v>60.8</v>
      </c>
      <c r="F96" s="27">
        <f>ROUND(Levels!R96,1)</f>
        <v>62.1</v>
      </c>
      <c r="G96" s="5">
        <f t="shared" si="14"/>
        <v>-4.8</v>
      </c>
      <c r="H96" s="26" t="str">
        <f t="shared" si="15"/>
        <v>-</v>
      </c>
      <c r="I96" s="5">
        <f t="shared" si="16"/>
        <v>1</v>
      </c>
      <c r="J96" s="5">
        <f t="shared" si="17"/>
        <v>0.9</v>
      </c>
      <c r="K96" s="5" t="str">
        <f t="shared" si="18"/>
        <v>Negligible</v>
      </c>
      <c r="L96" s="5">
        <f t="shared" si="19"/>
        <v>-3.5</v>
      </c>
      <c r="M96" s="5">
        <f t="shared" si="20"/>
        <v>-3.2</v>
      </c>
      <c r="N96" s="20" t="str">
        <f t="shared" si="21"/>
        <v>-</v>
      </c>
      <c r="O96" s="30">
        <f t="shared" si="12"/>
        <v>2.1939959288377719E-2</v>
      </c>
      <c r="P96" s="30">
        <f t="shared" si="13"/>
        <v>-6.5950593788961398E-2</v>
      </c>
    </row>
    <row r="97" spans="2:16" x14ac:dyDescent="0.25">
      <c r="B97" t="str">
        <f>Levels!M97</f>
        <v>Wyndlee</v>
      </c>
      <c r="C97" s="27">
        <f>ROUND(Levels!O97, 1)</f>
        <v>61.8</v>
      </c>
      <c r="D97" s="27">
        <f>ROUND(Levels!Q97, 1)</f>
        <v>62.8</v>
      </c>
      <c r="E97" s="27">
        <f>ROUND(Levels!P97, 1)</f>
        <v>57.2</v>
      </c>
      <c r="F97" s="27">
        <f>ROUND(Levels!R97,1)</f>
        <v>58.5</v>
      </c>
      <c r="G97" s="5">
        <f t="shared" si="14"/>
        <v>-4.5999999999999996</v>
      </c>
      <c r="H97" s="26" t="str">
        <f t="shared" si="15"/>
        <v>-</v>
      </c>
      <c r="I97" s="5">
        <f t="shared" si="16"/>
        <v>1</v>
      </c>
      <c r="J97" s="5">
        <f t="shared" si="17"/>
        <v>0.9</v>
      </c>
      <c r="K97" s="5" t="str">
        <f t="shared" si="18"/>
        <v>Negligible</v>
      </c>
      <c r="L97" s="5">
        <f t="shared" si="19"/>
        <v>-3.3</v>
      </c>
      <c r="M97" s="5">
        <f t="shared" si="20"/>
        <v>-3</v>
      </c>
      <c r="N97" s="20" t="str">
        <f t="shared" si="21"/>
        <v>-</v>
      </c>
      <c r="O97" s="30">
        <f t="shared" si="12"/>
        <v>1.6728769624294065E-2</v>
      </c>
      <c r="P97" s="30">
        <f t="shared" si="13"/>
        <v>-4.6179944953745541E-2</v>
      </c>
    </row>
    <row r="98" spans="2:16" x14ac:dyDescent="0.25">
      <c r="B98" t="str">
        <f>Levels!M98</f>
        <v>Alwinds</v>
      </c>
      <c r="C98" s="27">
        <f>ROUND(Levels!O98, 1)</f>
        <v>65.099999999999994</v>
      </c>
      <c r="D98" s="27">
        <f>ROUND(Levels!Q98, 1)</f>
        <v>66.099999999999994</v>
      </c>
      <c r="E98" s="27">
        <f>ROUND(Levels!P98, 1)</f>
        <v>60</v>
      </c>
      <c r="F98" s="27">
        <f>ROUND(Levels!R98,1)</f>
        <v>61.3</v>
      </c>
      <c r="G98" s="5">
        <f t="shared" si="14"/>
        <v>-5.0999999999999996</v>
      </c>
      <c r="H98" s="26" t="str">
        <f t="shared" si="15"/>
        <v>-</v>
      </c>
      <c r="I98" s="5">
        <f t="shared" si="16"/>
        <v>1</v>
      </c>
      <c r="J98" s="5">
        <f t="shared" si="17"/>
        <v>0.9</v>
      </c>
      <c r="K98" s="5" t="str">
        <f t="shared" si="18"/>
        <v>Negligible</v>
      </c>
      <c r="L98" s="5">
        <f t="shared" si="19"/>
        <v>-3.8</v>
      </c>
      <c r="M98" s="5">
        <f t="shared" si="20"/>
        <v>-3.4</v>
      </c>
      <c r="N98" s="20" t="str">
        <f t="shared" si="21"/>
        <v>-</v>
      </c>
      <c r="O98" s="30">
        <f t="shared" si="12"/>
        <v>2.1254769463612627E-2</v>
      </c>
      <c r="P98" s="30">
        <f t="shared" si="13"/>
        <v>-6.8243155784844273E-2</v>
      </c>
    </row>
    <row r="99" spans="2:16" x14ac:dyDescent="0.25">
      <c r="B99" t="str">
        <f>Levels!M99</f>
        <v>Windy Ridge</v>
      </c>
      <c r="C99" s="27">
        <f>ROUND(Levels!O99, 1)</f>
        <v>65</v>
      </c>
      <c r="D99" s="27">
        <f>ROUND(Levels!Q99, 1)</f>
        <v>66</v>
      </c>
      <c r="E99" s="27">
        <f>ROUND(Levels!P99, 1)</f>
        <v>59.7</v>
      </c>
      <c r="F99" s="27">
        <f>ROUND(Levels!R99,1)</f>
        <v>61.1</v>
      </c>
      <c r="G99" s="5">
        <f t="shared" si="14"/>
        <v>-5.3</v>
      </c>
      <c r="H99" s="26" t="str">
        <f t="shared" si="15"/>
        <v>-</v>
      </c>
      <c r="I99" s="5">
        <f t="shared" si="16"/>
        <v>1</v>
      </c>
      <c r="J99" s="5">
        <f t="shared" si="17"/>
        <v>0.9</v>
      </c>
      <c r="K99" s="5" t="str">
        <f t="shared" si="18"/>
        <v>Negligible</v>
      </c>
      <c r="L99" s="5">
        <f t="shared" si="19"/>
        <v>-3.9</v>
      </c>
      <c r="M99" s="5">
        <f t="shared" si="20"/>
        <v>-3.5</v>
      </c>
      <c r="N99" s="20" t="str">
        <f t="shared" si="21"/>
        <v>-</v>
      </c>
      <c r="O99" s="30">
        <f t="shared" si="12"/>
        <v>2.1117061580202073E-2</v>
      </c>
      <c r="P99" s="30">
        <f t="shared" si="13"/>
        <v>-6.9250589487814596E-2</v>
      </c>
    </row>
    <row r="100" spans="2:16" x14ac:dyDescent="0.25">
      <c r="B100" t="str">
        <f>Levels!M100</f>
        <v>Jersey Cottage</v>
      </c>
      <c r="C100" s="27">
        <f>ROUND(Levels!O100, 1)</f>
        <v>63.7</v>
      </c>
      <c r="D100" s="27">
        <f>ROUND(Levels!Q100, 1)</f>
        <v>64.7</v>
      </c>
      <c r="E100" s="27">
        <f>ROUND(Levels!P100, 1)</f>
        <v>59.6</v>
      </c>
      <c r="F100" s="27">
        <f>ROUND(Levels!R100,1)</f>
        <v>60.8</v>
      </c>
      <c r="G100" s="5">
        <f t="shared" si="14"/>
        <v>-4.0999999999999996</v>
      </c>
      <c r="H100" s="26" t="str">
        <f t="shared" si="15"/>
        <v>-</v>
      </c>
      <c r="I100" s="5">
        <f t="shared" si="16"/>
        <v>1</v>
      </c>
      <c r="J100" s="5">
        <f t="shared" si="17"/>
        <v>0.9</v>
      </c>
      <c r="K100" s="5" t="str">
        <f t="shared" si="18"/>
        <v>Negligible</v>
      </c>
      <c r="L100" s="5">
        <f t="shared" si="19"/>
        <v>-2.9</v>
      </c>
      <c r="M100" s="5">
        <f t="shared" si="20"/>
        <v>-2.6</v>
      </c>
      <c r="N100" s="20" t="str">
        <f t="shared" si="21"/>
        <v>-</v>
      </c>
      <c r="O100" s="30">
        <f t="shared" ref="O100:O131" si="22">NuisanceByL10(D100) - NuisanceByL10(C100)</f>
        <v>1.931902319390813E-2</v>
      </c>
      <c r="P100" s="30">
        <f t="shared" ref="P100:P131" si="23">MAX(NuisanceByL10(F100)-NuisanceByL10(C100), NuisanceChangeByL10Change(G100))</f>
        <v>-4.8355618313036836E-2</v>
      </c>
    </row>
    <row r="101" spans="2:16" x14ac:dyDescent="0.25">
      <c r="B101" t="str">
        <f>Levels!M101</f>
        <v>Canterbury House</v>
      </c>
      <c r="C101" s="27">
        <f>ROUND(Levels!O101, 1)</f>
        <v>63.7</v>
      </c>
      <c r="D101" s="27">
        <f>ROUND(Levels!Q101, 1)</f>
        <v>64.7</v>
      </c>
      <c r="E101" s="27">
        <f>ROUND(Levels!P101, 1)</f>
        <v>59.9</v>
      </c>
      <c r="F101" s="27">
        <f>ROUND(Levels!R101,1)</f>
        <v>61</v>
      </c>
      <c r="G101" s="5">
        <f t="shared" si="14"/>
        <v>-3.8</v>
      </c>
      <c r="H101" s="26" t="str">
        <f t="shared" si="15"/>
        <v>-</v>
      </c>
      <c r="I101" s="5">
        <f t="shared" si="16"/>
        <v>1</v>
      </c>
      <c r="J101" s="5">
        <f t="shared" si="17"/>
        <v>0.9</v>
      </c>
      <c r="K101" s="5" t="str">
        <f t="shared" si="18"/>
        <v>Negligible</v>
      </c>
      <c r="L101" s="5">
        <f t="shared" si="19"/>
        <v>-2.7</v>
      </c>
      <c r="M101" s="5">
        <f t="shared" si="20"/>
        <v>-2.4</v>
      </c>
      <c r="N101" s="20" t="str">
        <f t="shared" si="21"/>
        <v>-</v>
      </c>
      <c r="O101" s="30">
        <f t="shared" si="22"/>
        <v>1.931902319390813E-2</v>
      </c>
      <c r="P101" s="30">
        <f t="shared" si="23"/>
        <v>-4.5375196043802413E-2</v>
      </c>
    </row>
    <row r="102" spans="2:16" x14ac:dyDescent="0.25">
      <c r="B102" t="str">
        <f>Levels!M102</f>
        <v>Millstone House</v>
      </c>
      <c r="C102" s="27">
        <f>ROUND(Levels!O102, 1)</f>
        <v>63.8</v>
      </c>
      <c r="D102" s="27">
        <f>ROUND(Levels!Q102, 1)</f>
        <v>64.7</v>
      </c>
      <c r="E102" s="27">
        <f>ROUND(Levels!P102, 1)</f>
        <v>59.8</v>
      </c>
      <c r="F102" s="27">
        <f>ROUND(Levels!R102,1)</f>
        <v>60.9</v>
      </c>
      <c r="G102" s="5">
        <f t="shared" si="14"/>
        <v>-4</v>
      </c>
      <c r="H102" s="26" t="str">
        <f t="shared" si="15"/>
        <v>-</v>
      </c>
      <c r="I102" s="5">
        <f t="shared" si="16"/>
        <v>0.9</v>
      </c>
      <c r="J102" s="5">
        <f t="shared" si="17"/>
        <v>0.8</v>
      </c>
      <c r="K102" s="5" t="str">
        <f t="shared" si="18"/>
        <v>Negligible</v>
      </c>
      <c r="L102" s="5">
        <f t="shared" si="19"/>
        <v>-2.9</v>
      </c>
      <c r="M102" s="5">
        <f t="shared" si="20"/>
        <v>-2.6</v>
      </c>
      <c r="N102" s="20" t="str">
        <f t="shared" si="21"/>
        <v>-</v>
      </c>
      <c r="O102" s="30">
        <f t="shared" si="22"/>
        <v>1.7449283474693933E-2</v>
      </c>
      <c r="P102" s="30">
        <f t="shared" si="23"/>
        <v>-4.8741489867319215E-2</v>
      </c>
    </row>
    <row r="103" spans="2:16" x14ac:dyDescent="0.25">
      <c r="B103" t="str">
        <f>Levels!M103</f>
        <v>Elwick House</v>
      </c>
      <c r="C103" s="27">
        <f>ROUND(Levels!O103, 1)</f>
        <v>63.2</v>
      </c>
      <c r="D103" s="27">
        <f>ROUND(Levels!Q103, 1)</f>
        <v>64.099999999999994</v>
      </c>
      <c r="E103" s="27">
        <f>ROUND(Levels!P103, 1)</f>
        <v>59</v>
      </c>
      <c r="F103" s="27">
        <f>ROUND(Levels!R103,1)</f>
        <v>60.2</v>
      </c>
      <c r="G103" s="5">
        <f t="shared" si="14"/>
        <v>-4.2</v>
      </c>
      <c r="H103" s="26" t="str">
        <f t="shared" si="15"/>
        <v>-</v>
      </c>
      <c r="I103" s="5">
        <f t="shared" si="16"/>
        <v>0.9</v>
      </c>
      <c r="J103" s="5">
        <f t="shared" si="17"/>
        <v>0.8</v>
      </c>
      <c r="K103" s="5" t="str">
        <f t="shared" si="18"/>
        <v>Negligible</v>
      </c>
      <c r="L103" s="5">
        <f t="shared" si="19"/>
        <v>-3</v>
      </c>
      <c r="M103" s="5">
        <f t="shared" si="20"/>
        <v>-2.7</v>
      </c>
      <c r="N103" s="20" t="str">
        <f t="shared" si="21"/>
        <v>-</v>
      </c>
      <c r="O103" s="30">
        <f t="shared" si="22"/>
        <v>1.6704369792871959E-2</v>
      </c>
      <c r="P103" s="30">
        <f t="shared" si="23"/>
        <v>-4.7852901485006316E-2</v>
      </c>
    </row>
    <row r="104" spans="2:16" x14ac:dyDescent="0.25">
      <c r="B104" t="str">
        <f>Levels!M104</f>
        <v>Greencroft</v>
      </c>
      <c r="C104" s="27">
        <f>ROUND(Levels!O104, 1)</f>
        <v>57.1</v>
      </c>
      <c r="D104" s="27">
        <f>ROUND(Levels!Q104, 1)</f>
        <v>57.7</v>
      </c>
      <c r="E104" s="27">
        <f>ROUND(Levels!P104, 1)</f>
        <v>57.2</v>
      </c>
      <c r="F104" s="27">
        <f>ROUND(Levels!R104,1)</f>
        <v>57.9</v>
      </c>
      <c r="G104" s="5">
        <f t="shared" si="14"/>
        <v>0.1</v>
      </c>
      <c r="H104" s="26" t="str">
        <f t="shared" si="15"/>
        <v>Negligible</v>
      </c>
      <c r="I104" s="5">
        <f t="shared" si="16"/>
        <v>0.6</v>
      </c>
      <c r="J104" s="5">
        <f t="shared" si="17"/>
        <v>0.5</v>
      </c>
      <c r="K104" s="5" t="str">
        <f t="shared" si="18"/>
        <v>Negligible</v>
      </c>
      <c r="L104" s="5">
        <f t="shared" si="19"/>
        <v>0.8</v>
      </c>
      <c r="M104" s="5">
        <f t="shared" si="20"/>
        <v>0.7</v>
      </c>
      <c r="N104" s="20" t="str">
        <f t="shared" si="21"/>
        <v>Negligible</v>
      </c>
      <c r="O104" s="30">
        <f t="shared" si="22"/>
        <v>6.5077681854210784E-3</v>
      </c>
      <c r="P104" s="30">
        <f t="shared" si="23"/>
        <v>9.8224379670311612E-2</v>
      </c>
    </row>
    <row r="105" spans="2:16" x14ac:dyDescent="0.25">
      <c r="B105" t="str">
        <f>Levels!M105</f>
        <v>Bee Cott</v>
      </c>
      <c r="C105" s="27">
        <f>ROUND(Levels!O105, 1)</f>
        <v>64.8</v>
      </c>
      <c r="D105" s="27">
        <f>ROUND(Levels!Q105, 1)</f>
        <v>65</v>
      </c>
      <c r="E105" s="27">
        <f>ROUND(Levels!P105, 1)</f>
        <v>55.3</v>
      </c>
      <c r="F105" s="27">
        <f>ROUND(Levels!R105,1)</f>
        <v>56.2</v>
      </c>
      <c r="G105" s="5">
        <f t="shared" si="14"/>
        <v>-9.5</v>
      </c>
      <c r="H105" s="26" t="str">
        <f t="shared" si="15"/>
        <v>-</v>
      </c>
      <c r="I105" s="5">
        <f t="shared" si="16"/>
        <v>0.2</v>
      </c>
      <c r="J105" s="5">
        <f t="shared" si="17"/>
        <v>0.2</v>
      </c>
      <c r="K105" s="5" t="str">
        <f t="shared" si="18"/>
        <v>Negligible</v>
      </c>
      <c r="L105" s="5">
        <f t="shared" si="19"/>
        <v>-8.6</v>
      </c>
      <c r="M105" s="5">
        <f t="shared" si="20"/>
        <v>-7.7</v>
      </c>
      <c r="N105" s="20" t="str">
        <f t="shared" si="21"/>
        <v>-</v>
      </c>
      <c r="O105" s="30">
        <f t="shared" si="22"/>
        <v>4.057630363839354E-3</v>
      </c>
      <c r="P105" s="30">
        <f t="shared" si="23"/>
        <v>-0.1253075740679826</v>
      </c>
    </row>
    <row r="106" spans="2:16" x14ac:dyDescent="0.25">
      <c r="B106" t="str">
        <f>Levels!M106</f>
        <v>Church Bank Cottage</v>
      </c>
      <c r="C106" s="27">
        <f>ROUND(Levels!O106, 1)</f>
        <v>65.5</v>
      </c>
      <c r="D106" s="27">
        <f>ROUND(Levels!Q106, 1)</f>
        <v>65.7</v>
      </c>
      <c r="E106" s="27">
        <f>ROUND(Levels!P106, 1)</f>
        <v>55</v>
      </c>
      <c r="F106" s="27">
        <f>ROUND(Levels!R106,1)</f>
        <v>55.9</v>
      </c>
      <c r="G106" s="5">
        <f t="shared" si="14"/>
        <v>-10.5</v>
      </c>
      <c r="H106" s="26" t="str">
        <f t="shared" si="15"/>
        <v>-</v>
      </c>
      <c r="I106" s="5">
        <f t="shared" si="16"/>
        <v>0.2</v>
      </c>
      <c r="J106" s="5">
        <f t="shared" si="17"/>
        <v>0.2</v>
      </c>
      <c r="K106" s="5" t="str">
        <f t="shared" si="18"/>
        <v>Negligible</v>
      </c>
      <c r="L106" s="5">
        <f t="shared" si="19"/>
        <v>-9.6</v>
      </c>
      <c r="M106" s="5">
        <f t="shared" si="20"/>
        <v>-8.6</v>
      </c>
      <c r="N106" s="20" t="str">
        <f t="shared" si="21"/>
        <v>-</v>
      </c>
      <c r="O106" s="30">
        <f t="shared" si="22"/>
        <v>4.2511078664238255E-3</v>
      </c>
      <c r="P106" s="30">
        <f t="shared" si="23"/>
        <v>-0.14260354305962314</v>
      </c>
    </row>
    <row r="107" spans="2:16" x14ac:dyDescent="0.25">
      <c r="B107" t="str">
        <f>Levels!M107</f>
        <v>Hazel Bank Cottage</v>
      </c>
      <c r="C107" s="27">
        <f>ROUND(Levels!O107, 1)</f>
        <v>65.900000000000006</v>
      </c>
      <c r="D107" s="27">
        <f>ROUND(Levels!Q107, 1)</f>
        <v>66.099999999999994</v>
      </c>
      <c r="E107" s="27">
        <f>ROUND(Levels!P107, 1)</f>
        <v>55</v>
      </c>
      <c r="F107" s="27">
        <f>ROUND(Levels!R107,1)</f>
        <v>55.9</v>
      </c>
      <c r="G107" s="5">
        <f t="shared" si="14"/>
        <v>-10.9</v>
      </c>
      <c r="H107" s="26" t="str">
        <f t="shared" si="15"/>
        <v>-</v>
      </c>
      <c r="I107" s="5">
        <f t="shared" si="16"/>
        <v>0.2</v>
      </c>
      <c r="J107" s="5">
        <f t="shared" si="17"/>
        <v>0.2</v>
      </c>
      <c r="K107" s="5" t="str">
        <f t="shared" si="18"/>
        <v>Negligible</v>
      </c>
      <c r="L107" s="5">
        <f t="shared" si="19"/>
        <v>-10</v>
      </c>
      <c r="M107" s="5">
        <f t="shared" si="20"/>
        <v>-9</v>
      </c>
      <c r="N107" s="20" t="str">
        <f t="shared" si="21"/>
        <v>-</v>
      </c>
      <c r="O107" s="30">
        <f t="shared" si="22"/>
        <v>4.3609156474954669E-3</v>
      </c>
      <c r="P107" s="30">
        <f t="shared" si="23"/>
        <v>-0.15116075763724729</v>
      </c>
    </row>
    <row r="108" spans="2:16" s="24" customFormat="1" x14ac:dyDescent="0.25">
      <c r="B108" s="24" t="str">
        <f>Levels!M108</f>
        <v>St Peter's Church</v>
      </c>
      <c r="C108" s="33">
        <f>ROUND(Levels!O108, 1)</f>
        <v>62.5</v>
      </c>
      <c r="D108" s="33">
        <f>ROUND(Levels!Q108, 1)</f>
        <v>62.9</v>
      </c>
      <c r="E108" s="33">
        <f>ROUND(Levels!P108, 1)</f>
        <v>60.4</v>
      </c>
      <c r="F108" s="33">
        <f>ROUND(Levels!R108,1)</f>
        <v>61.2</v>
      </c>
      <c r="G108" s="25">
        <f t="shared" si="14"/>
        <v>-2.1</v>
      </c>
      <c r="H108" s="34" t="str">
        <f t="shared" si="15"/>
        <v>-</v>
      </c>
      <c r="I108" s="25">
        <f t="shared" si="16"/>
        <v>0.4</v>
      </c>
      <c r="J108" s="25">
        <f t="shared" si="17"/>
        <v>0.4</v>
      </c>
      <c r="K108" s="25" t="str">
        <f t="shared" si="18"/>
        <v>Negligible</v>
      </c>
      <c r="L108" s="25">
        <f t="shared" si="19"/>
        <v>-1.3</v>
      </c>
      <c r="M108" s="25">
        <f t="shared" si="20"/>
        <v>-1.2</v>
      </c>
      <c r="N108" s="34" t="str">
        <f t="shared" si="21"/>
        <v>-</v>
      </c>
      <c r="O108" s="35">
        <f t="shared" si="22"/>
        <v>6.905768326252365E-3</v>
      </c>
      <c r="P108" s="35">
        <f t="shared" si="23"/>
        <v>-2.0973760140891334E-2</v>
      </c>
    </row>
    <row r="109" spans="2:16" x14ac:dyDescent="0.25">
      <c r="B109" t="str">
        <f>Levels!M109</f>
        <v>Longcross</v>
      </c>
      <c r="C109" s="27">
        <f>ROUND(Levels!O109, 1)</f>
        <v>68.3</v>
      </c>
      <c r="D109" s="27">
        <f>ROUND(Levels!Q109, 1)</f>
        <v>68.8</v>
      </c>
      <c r="E109" s="27">
        <f>ROUND(Levels!P109, 1)</f>
        <v>67.8</v>
      </c>
      <c r="F109" s="27">
        <f>ROUND(Levels!R109,1)</f>
        <v>68.599999999999994</v>
      </c>
      <c r="G109" s="5">
        <f t="shared" si="14"/>
        <v>-0.5</v>
      </c>
      <c r="H109" s="26" t="str">
        <f t="shared" si="15"/>
        <v>-</v>
      </c>
      <c r="I109" s="5">
        <f t="shared" si="16"/>
        <v>0.5</v>
      </c>
      <c r="J109" s="5">
        <f t="shared" si="17"/>
        <v>0.5</v>
      </c>
      <c r="K109" s="5" t="str">
        <f t="shared" si="18"/>
        <v>Negligible</v>
      </c>
      <c r="L109" s="5">
        <f t="shared" si="19"/>
        <v>0.3</v>
      </c>
      <c r="M109" s="5">
        <f t="shared" si="20"/>
        <v>0.3</v>
      </c>
      <c r="N109" s="20" t="str">
        <f t="shared" si="21"/>
        <v>Negligible</v>
      </c>
      <c r="O109" s="30">
        <f t="shared" si="22"/>
        <v>1.2565664323345715E-2</v>
      </c>
      <c r="P109" s="30">
        <f t="shared" si="23"/>
        <v>7.5030044846137733E-3</v>
      </c>
    </row>
    <row r="110" spans="2:16" x14ac:dyDescent="0.25">
      <c r="B110" t="str">
        <f>Levels!M110</f>
        <v>Sunrise Cottage</v>
      </c>
      <c r="C110" s="27">
        <f>ROUND(Levels!O110, 1)</f>
        <v>75.599999999999994</v>
      </c>
      <c r="D110" s="27">
        <f>ROUND(Levels!Q110, 1)</f>
        <v>76.400000000000006</v>
      </c>
      <c r="E110" s="27">
        <f>ROUND(Levels!P110, 1)</f>
        <v>75.599999999999994</v>
      </c>
      <c r="F110" s="27">
        <f>ROUND(Levels!R110,1)</f>
        <v>76.3</v>
      </c>
      <c r="G110" s="5">
        <f t="shared" si="14"/>
        <v>0</v>
      </c>
      <c r="H110" s="26" t="str">
        <f t="shared" si="15"/>
        <v>No change</v>
      </c>
      <c r="I110" s="5">
        <f t="shared" si="16"/>
        <v>0.8</v>
      </c>
      <c r="J110" s="5">
        <f t="shared" si="17"/>
        <v>0.7</v>
      </c>
      <c r="K110" s="5" t="str">
        <f t="shared" si="18"/>
        <v>Negligible</v>
      </c>
      <c r="L110" s="5">
        <f t="shared" si="19"/>
        <v>0.7</v>
      </c>
      <c r="M110" s="5">
        <f t="shared" si="20"/>
        <v>0.6</v>
      </c>
      <c r="N110" s="20" t="str">
        <f t="shared" si="21"/>
        <v>Negligible</v>
      </c>
      <c r="O110" s="30">
        <f t="shared" si="22"/>
        <v>2.3985802985874882E-2</v>
      </c>
      <c r="P110" s="30">
        <f t="shared" si="23"/>
        <v>2.0990849279327317E-2</v>
      </c>
    </row>
    <row r="111" spans="2:16" x14ac:dyDescent="0.25">
      <c r="B111" t="str">
        <f>Levels!M111</f>
        <v>The Hawthorns</v>
      </c>
      <c r="C111" s="27">
        <f>ROUND(Levels!O111, 1)</f>
        <v>81.099999999999994</v>
      </c>
      <c r="D111" s="27">
        <f>ROUND(Levels!Q111, 1)</f>
        <v>81.900000000000006</v>
      </c>
      <c r="E111" s="27">
        <f>ROUND(Levels!P111, 1)</f>
        <v>81</v>
      </c>
      <c r="F111" s="27">
        <f>ROUND(Levels!R111,1)</f>
        <v>81.8</v>
      </c>
      <c r="G111" s="5">
        <f t="shared" si="14"/>
        <v>-0.1</v>
      </c>
      <c r="H111" s="26" t="str">
        <f t="shared" si="15"/>
        <v>-</v>
      </c>
      <c r="I111" s="5">
        <f t="shared" si="16"/>
        <v>0.8</v>
      </c>
      <c r="J111" s="5">
        <f t="shared" si="17"/>
        <v>0.7</v>
      </c>
      <c r="K111" s="5" t="str">
        <f t="shared" si="18"/>
        <v>Negligible</v>
      </c>
      <c r="L111" s="5">
        <f t="shared" si="19"/>
        <v>0.7</v>
      </c>
      <c r="M111" s="5">
        <f t="shared" si="20"/>
        <v>0.6</v>
      </c>
      <c r="N111" s="20" t="str">
        <f t="shared" si="21"/>
        <v>Negligible</v>
      </c>
      <c r="O111" s="30">
        <f t="shared" si="22"/>
        <v>2.1281736639470306E-2</v>
      </c>
      <c r="P111" s="30">
        <f t="shared" si="23"/>
        <v>1.8659531365044724E-2</v>
      </c>
    </row>
    <row r="112" spans="2:16" x14ac:dyDescent="0.25">
      <c r="B112" t="str">
        <f>Levels!M112</f>
        <v>Benknowle</v>
      </c>
      <c r="C112" s="27">
        <f>ROUND(Levels!O112, 1)</f>
        <v>74.7</v>
      </c>
      <c r="D112" s="27">
        <f>ROUND(Levels!Q112, 1)</f>
        <v>75.5</v>
      </c>
      <c r="E112" s="27">
        <f>ROUND(Levels!P112, 1)</f>
        <v>74.7</v>
      </c>
      <c r="F112" s="27">
        <f>ROUND(Levels!R112,1)</f>
        <v>75.5</v>
      </c>
      <c r="G112" s="5">
        <f t="shared" si="14"/>
        <v>0</v>
      </c>
      <c r="H112" s="26" t="str">
        <f t="shared" si="15"/>
        <v>No change</v>
      </c>
      <c r="I112" s="5">
        <f t="shared" si="16"/>
        <v>0.8</v>
      </c>
      <c r="J112" s="5">
        <f t="shared" si="17"/>
        <v>0.7</v>
      </c>
      <c r="K112" s="5" t="str">
        <f t="shared" si="18"/>
        <v>Negligible</v>
      </c>
      <c r="L112" s="5">
        <f t="shared" si="19"/>
        <v>0.8</v>
      </c>
      <c r="M112" s="5">
        <f t="shared" si="20"/>
        <v>0.7</v>
      </c>
      <c r="N112" s="20" t="str">
        <f t="shared" si="21"/>
        <v>Negligible</v>
      </c>
      <c r="O112" s="30">
        <f t="shared" si="22"/>
        <v>2.3967691690952031E-2</v>
      </c>
      <c r="P112" s="30">
        <f t="shared" si="23"/>
        <v>2.3967691690952031E-2</v>
      </c>
    </row>
    <row r="113" spans="2:16" x14ac:dyDescent="0.25">
      <c r="B113" t="str">
        <f>Levels!M113</f>
        <v>Mill House</v>
      </c>
      <c r="C113" s="27">
        <f>ROUND(Levels!O113, 1)</f>
        <v>70</v>
      </c>
      <c r="D113" s="27">
        <f>ROUND(Levels!Q113, 1)</f>
        <v>70.8</v>
      </c>
      <c r="E113" s="27">
        <f>ROUND(Levels!P113, 1)</f>
        <v>70</v>
      </c>
      <c r="F113" s="27">
        <f>ROUND(Levels!R113,1)</f>
        <v>70.7</v>
      </c>
      <c r="G113" s="5">
        <f t="shared" si="14"/>
        <v>0</v>
      </c>
      <c r="H113" s="26" t="str">
        <f t="shared" si="15"/>
        <v>No change</v>
      </c>
      <c r="I113" s="5">
        <f t="shared" si="16"/>
        <v>0.8</v>
      </c>
      <c r="J113" s="5">
        <f t="shared" si="17"/>
        <v>0.7</v>
      </c>
      <c r="K113" s="5" t="str">
        <f t="shared" si="18"/>
        <v>Negligible</v>
      </c>
      <c r="L113" s="5">
        <f t="shared" si="19"/>
        <v>0.7</v>
      </c>
      <c r="M113" s="5">
        <f t="shared" si="20"/>
        <v>0.6</v>
      </c>
      <c r="N113" s="20" t="str">
        <f t="shared" si="21"/>
        <v>Negligible</v>
      </c>
      <c r="O113" s="30">
        <f t="shared" si="22"/>
        <v>2.1751411408713117E-2</v>
      </c>
      <c r="P113" s="30">
        <f t="shared" si="23"/>
        <v>1.8998060411484718E-2</v>
      </c>
    </row>
    <row r="114" spans="2:16" x14ac:dyDescent="0.25">
      <c r="B114" t="str">
        <f>Levels!M114</f>
        <v>Woodland House</v>
      </c>
      <c r="C114" s="27">
        <f>ROUND(Levels!O114, 1)</f>
        <v>67.900000000000006</v>
      </c>
      <c r="D114" s="27">
        <f>ROUND(Levels!Q114, 1)</f>
        <v>68.5</v>
      </c>
      <c r="E114" s="27">
        <f>ROUND(Levels!P114, 1)</f>
        <v>67.8</v>
      </c>
      <c r="F114" s="27">
        <f>ROUND(Levels!R114,1)</f>
        <v>68.599999999999994</v>
      </c>
      <c r="G114" s="5">
        <f t="shared" si="14"/>
        <v>-0.1</v>
      </c>
      <c r="H114" s="26" t="str">
        <f t="shared" si="15"/>
        <v>-</v>
      </c>
      <c r="I114" s="5">
        <f t="shared" si="16"/>
        <v>0.6</v>
      </c>
      <c r="J114" s="5">
        <f t="shared" si="17"/>
        <v>0.5</v>
      </c>
      <c r="K114" s="5" t="str">
        <f t="shared" si="18"/>
        <v>Negligible</v>
      </c>
      <c r="L114" s="5">
        <f t="shared" si="19"/>
        <v>0.7</v>
      </c>
      <c r="M114" s="5">
        <f t="shared" si="20"/>
        <v>0.6</v>
      </c>
      <c r="N114" s="20" t="str">
        <f t="shared" si="21"/>
        <v>Negligible</v>
      </c>
      <c r="O114" s="30">
        <f t="shared" si="22"/>
        <v>1.4820211570931607E-2</v>
      </c>
      <c r="P114" s="30">
        <f t="shared" si="23"/>
        <v>1.7333437306125909E-2</v>
      </c>
    </row>
    <row r="115" spans="2:16" x14ac:dyDescent="0.25">
      <c r="B115" t="str">
        <f>Levels!M115</f>
        <v>North Close 8</v>
      </c>
      <c r="C115" s="27">
        <f>ROUND(Levels!O115, 1)</f>
        <v>56</v>
      </c>
      <c r="D115" s="27">
        <f>ROUND(Levels!Q115, 1)</f>
        <v>56.2</v>
      </c>
      <c r="E115" s="27">
        <f>ROUND(Levels!P115, 1)</f>
        <v>55.6</v>
      </c>
      <c r="F115" s="27">
        <f>ROUND(Levels!R115,1)</f>
        <v>56.2</v>
      </c>
      <c r="G115" s="5">
        <f t="shared" si="14"/>
        <v>-0.4</v>
      </c>
      <c r="H115" s="26" t="str">
        <f t="shared" si="15"/>
        <v>-</v>
      </c>
      <c r="I115" s="5">
        <f t="shared" si="16"/>
        <v>0.2</v>
      </c>
      <c r="J115" s="5">
        <f t="shared" si="17"/>
        <v>0.2</v>
      </c>
      <c r="K115" s="5" t="str">
        <f t="shared" si="18"/>
        <v>Negligible</v>
      </c>
      <c r="L115" s="5">
        <f t="shared" si="19"/>
        <v>0.2</v>
      </c>
      <c r="M115" s="5">
        <f t="shared" si="20"/>
        <v>0.2</v>
      </c>
      <c r="N115" s="20" t="str">
        <f t="shared" si="21"/>
        <v>Negligible</v>
      </c>
      <c r="O115" s="30">
        <f t="shared" si="22"/>
        <v>1.9108246491488096E-3</v>
      </c>
      <c r="P115" s="30">
        <f t="shared" si="23"/>
        <v>1.9108246491488096E-3</v>
      </c>
    </row>
    <row r="116" spans="2:16" x14ac:dyDescent="0.25">
      <c r="B116" t="str">
        <f>Levels!M116</f>
        <v>North Close 9</v>
      </c>
      <c r="C116" s="27">
        <f>ROUND(Levels!O116, 1)</f>
        <v>55.3</v>
      </c>
      <c r="D116" s="27">
        <f>ROUND(Levels!Q116, 1)</f>
        <v>55.5</v>
      </c>
      <c r="E116" s="27">
        <f>ROUND(Levels!P116, 1)</f>
        <v>55.2</v>
      </c>
      <c r="F116" s="27">
        <f>ROUND(Levels!R116,1)</f>
        <v>55.9</v>
      </c>
      <c r="G116" s="5">
        <f t="shared" si="14"/>
        <v>-0.1</v>
      </c>
      <c r="H116" s="26" t="str">
        <f t="shared" si="15"/>
        <v>-</v>
      </c>
      <c r="I116" s="5">
        <f t="shared" si="16"/>
        <v>0.2</v>
      </c>
      <c r="J116" s="5">
        <f t="shared" si="17"/>
        <v>0.2</v>
      </c>
      <c r="K116" s="5" t="str">
        <f t="shared" si="18"/>
        <v>Negligible</v>
      </c>
      <c r="L116" s="5">
        <f t="shared" si="19"/>
        <v>0.6</v>
      </c>
      <c r="M116" s="5">
        <f t="shared" si="20"/>
        <v>0.5</v>
      </c>
      <c r="N116" s="20" t="str">
        <f t="shared" si="21"/>
        <v>Negligible</v>
      </c>
      <c r="O116" s="30">
        <f t="shared" si="22"/>
        <v>1.7818292287423987E-3</v>
      </c>
      <c r="P116" s="30">
        <f t="shared" si="23"/>
        <v>5.4544812807408166E-3</v>
      </c>
    </row>
    <row r="117" spans="2:16" x14ac:dyDescent="0.25">
      <c r="B117" t="str">
        <f>Levels!M117</f>
        <v>North Close 10</v>
      </c>
      <c r="C117" s="27">
        <f>ROUND(Levels!O117, 1)</f>
        <v>56.3</v>
      </c>
      <c r="D117" s="27">
        <f>ROUND(Levels!Q117, 1)</f>
        <v>56.6</v>
      </c>
      <c r="E117" s="27">
        <f>ROUND(Levels!P117, 1)</f>
        <v>56.3</v>
      </c>
      <c r="F117" s="27">
        <f>ROUND(Levels!R117,1)</f>
        <v>57.1</v>
      </c>
      <c r="G117" s="5">
        <f t="shared" si="14"/>
        <v>0</v>
      </c>
      <c r="H117" s="26" t="str">
        <f t="shared" si="15"/>
        <v>No change</v>
      </c>
      <c r="I117" s="5">
        <f t="shared" si="16"/>
        <v>0.3</v>
      </c>
      <c r="J117" s="5">
        <f t="shared" si="17"/>
        <v>0.3</v>
      </c>
      <c r="K117" s="5" t="str">
        <f t="shared" si="18"/>
        <v>Negligible</v>
      </c>
      <c r="L117" s="5">
        <f t="shared" si="19"/>
        <v>0.8</v>
      </c>
      <c r="M117" s="5">
        <f t="shared" si="20"/>
        <v>0.7</v>
      </c>
      <c r="N117" s="20" t="str">
        <f t="shared" si="21"/>
        <v>Negligible</v>
      </c>
      <c r="O117" s="30">
        <f t="shared" si="22"/>
        <v>2.966983574081164E-3</v>
      </c>
      <c r="P117" s="30">
        <f t="shared" si="23"/>
        <v>8.1094066769872714E-3</v>
      </c>
    </row>
    <row r="118" spans="2:16" x14ac:dyDescent="0.25">
      <c r="B118" t="str">
        <f>Levels!M118</f>
        <v>North Close 11</v>
      </c>
      <c r="C118" s="27">
        <f>ROUND(Levels!O118, 1)</f>
        <v>57.8</v>
      </c>
      <c r="D118" s="27">
        <f>ROUND(Levels!Q118, 1)</f>
        <v>58.1</v>
      </c>
      <c r="E118" s="27">
        <f>ROUND(Levels!P118, 1)</f>
        <v>57.8</v>
      </c>
      <c r="F118" s="27">
        <f>ROUND(Levels!R118,1)</f>
        <v>58.6</v>
      </c>
      <c r="G118" s="5">
        <f t="shared" si="14"/>
        <v>0</v>
      </c>
      <c r="H118" s="26" t="str">
        <f t="shared" si="15"/>
        <v>No change</v>
      </c>
      <c r="I118" s="5">
        <f t="shared" si="16"/>
        <v>0.3</v>
      </c>
      <c r="J118" s="5">
        <f t="shared" si="17"/>
        <v>0.3</v>
      </c>
      <c r="K118" s="5" t="str">
        <f t="shared" si="18"/>
        <v>Negligible</v>
      </c>
      <c r="L118" s="5">
        <f t="shared" si="19"/>
        <v>0.8</v>
      </c>
      <c r="M118" s="5">
        <f t="shared" si="20"/>
        <v>0.7</v>
      </c>
      <c r="N118" s="20" t="str">
        <f t="shared" si="21"/>
        <v>Negligible</v>
      </c>
      <c r="O118" s="30">
        <f t="shared" si="22"/>
        <v>3.4284587304378999E-3</v>
      </c>
      <c r="P118" s="30">
        <f t="shared" si="23"/>
        <v>9.3613932299985159E-3</v>
      </c>
    </row>
    <row r="119" spans="2:16" x14ac:dyDescent="0.25">
      <c r="B119" t="str">
        <f>Levels!M119</f>
        <v>North Close 12</v>
      </c>
      <c r="C119" s="27">
        <f>ROUND(Levels!O119, 1)</f>
        <v>55.5</v>
      </c>
      <c r="D119" s="27">
        <f>ROUND(Levels!Q119, 1)</f>
        <v>55.5</v>
      </c>
      <c r="E119" s="27">
        <f>ROUND(Levels!P119, 1)</f>
        <v>55.7</v>
      </c>
      <c r="F119" s="27">
        <f>ROUND(Levels!R119,1)</f>
        <v>56.5</v>
      </c>
      <c r="G119" s="5">
        <f t="shared" si="14"/>
        <v>0.2</v>
      </c>
      <c r="H119" s="26" t="str">
        <f t="shared" si="15"/>
        <v>Negligible</v>
      </c>
      <c r="I119" s="5">
        <f t="shared" si="16"/>
        <v>0</v>
      </c>
      <c r="J119" s="5">
        <f t="shared" si="17"/>
        <v>0</v>
      </c>
      <c r="K119" s="5" t="str">
        <f t="shared" si="18"/>
        <v>No change</v>
      </c>
      <c r="L119" s="5">
        <f t="shared" si="19"/>
        <v>1</v>
      </c>
      <c r="M119" s="5">
        <f t="shared" si="20"/>
        <v>0.9</v>
      </c>
      <c r="N119" s="20" t="str">
        <f t="shared" si="21"/>
        <v>Negligible</v>
      </c>
      <c r="O119" s="30">
        <f t="shared" si="22"/>
        <v>0</v>
      </c>
      <c r="P119" s="30">
        <f t="shared" si="23"/>
        <v>0.12346935894969169</v>
      </c>
    </row>
    <row r="120" spans="2:16" x14ac:dyDescent="0.25">
      <c r="B120" t="str">
        <f>Levels!M120</f>
        <v>North Close 13</v>
      </c>
      <c r="C120" s="27">
        <f>ROUND(Levels!O120, 1)</f>
        <v>56.8</v>
      </c>
      <c r="D120" s="27">
        <f>ROUND(Levels!Q120, 1)</f>
        <v>56.7</v>
      </c>
      <c r="E120" s="27">
        <f>ROUND(Levels!P120, 1)</f>
        <v>57</v>
      </c>
      <c r="F120" s="27">
        <f>ROUND(Levels!R120,1)</f>
        <v>57.7</v>
      </c>
      <c r="G120" s="5">
        <f t="shared" si="14"/>
        <v>0.2</v>
      </c>
      <c r="H120" s="26" t="str">
        <f t="shared" si="15"/>
        <v>Negligible</v>
      </c>
      <c r="I120" s="5">
        <f t="shared" si="16"/>
        <v>-0.1</v>
      </c>
      <c r="J120" s="5">
        <f t="shared" si="17"/>
        <v>-0.1</v>
      </c>
      <c r="K120" s="5" t="str">
        <f t="shared" si="18"/>
        <v>-</v>
      </c>
      <c r="L120" s="5">
        <f t="shared" si="19"/>
        <v>0.9</v>
      </c>
      <c r="M120" s="5">
        <f t="shared" si="20"/>
        <v>0.8</v>
      </c>
      <c r="N120" s="20" t="str">
        <f t="shared" si="21"/>
        <v>Negligible</v>
      </c>
      <c r="O120" s="30">
        <f t="shared" si="22"/>
        <v>-1.0184441683320777E-3</v>
      </c>
      <c r="P120" s="30">
        <f t="shared" si="23"/>
        <v>0.12346935894969169</v>
      </c>
    </row>
    <row r="121" spans="2:16" x14ac:dyDescent="0.25">
      <c r="B121" t="str">
        <f>Levels!M121</f>
        <v>North Close 16</v>
      </c>
      <c r="C121" s="27">
        <f>ROUND(Levels!O121, 1)</f>
        <v>62.1</v>
      </c>
      <c r="D121" s="27">
        <f>ROUND(Levels!Q121, 1)</f>
        <v>62.3</v>
      </c>
      <c r="E121" s="27">
        <f>ROUND(Levels!P121, 1)</f>
        <v>62.1</v>
      </c>
      <c r="F121" s="27">
        <f>ROUND(Levels!R121,1)</f>
        <v>62.8</v>
      </c>
      <c r="G121" s="5">
        <f t="shared" si="14"/>
        <v>0</v>
      </c>
      <c r="H121" s="26" t="str">
        <f t="shared" si="15"/>
        <v>No change</v>
      </c>
      <c r="I121" s="5">
        <f t="shared" si="16"/>
        <v>0.2</v>
      </c>
      <c r="J121" s="5">
        <f t="shared" si="17"/>
        <v>0.2</v>
      </c>
      <c r="K121" s="5" t="str">
        <f t="shared" si="18"/>
        <v>Negligible</v>
      </c>
      <c r="L121" s="5">
        <f t="shared" si="19"/>
        <v>0.7</v>
      </c>
      <c r="M121" s="5">
        <f t="shared" si="20"/>
        <v>0.6</v>
      </c>
      <c r="N121" s="20" t="str">
        <f t="shared" si="21"/>
        <v>Negligible</v>
      </c>
      <c r="O121" s="30">
        <f t="shared" si="22"/>
        <v>3.3187765121543145E-3</v>
      </c>
      <c r="P121" s="30">
        <f t="shared" si="23"/>
        <v>1.1850019238866111E-2</v>
      </c>
    </row>
    <row r="122" spans="2:16" x14ac:dyDescent="0.25">
      <c r="B122" t="str">
        <f>Levels!M122</f>
        <v>North Close 17</v>
      </c>
      <c r="C122" s="27">
        <f>ROUND(Levels!O122, 1)</f>
        <v>56.4</v>
      </c>
      <c r="D122" s="27">
        <f>ROUND(Levels!Q122, 1)</f>
        <v>56.3</v>
      </c>
      <c r="E122" s="27">
        <f>ROUND(Levels!P122, 1)</f>
        <v>55.6</v>
      </c>
      <c r="F122" s="27">
        <f>ROUND(Levels!R122,1)</f>
        <v>56.3</v>
      </c>
      <c r="G122" s="5">
        <f t="shared" si="14"/>
        <v>-0.8</v>
      </c>
      <c r="H122" s="26" t="str">
        <f t="shared" si="15"/>
        <v>-</v>
      </c>
      <c r="I122" s="5">
        <f t="shared" si="16"/>
        <v>-0.1</v>
      </c>
      <c r="J122" s="5">
        <f t="shared" si="17"/>
        <v>-0.1</v>
      </c>
      <c r="K122" s="5" t="str">
        <f t="shared" si="18"/>
        <v>-</v>
      </c>
      <c r="L122" s="5">
        <f t="shared" si="19"/>
        <v>-0.1</v>
      </c>
      <c r="M122" s="5">
        <f t="shared" si="20"/>
        <v>-0.1</v>
      </c>
      <c r="N122" s="20" t="str">
        <f t="shared" si="21"/>
        <v>-</v>
      </c>
      <c r="O122" s="30">
        <f t="shared" si="22"/>
        <v>-9.7928996744280072E-4</v>
      </c>
      <c r="P122" s="30">
        <f t="shared" si="23"/>
        <v>-9.7928996744280072E-4</v>
      </c>
    </row>
    <row r="123" spans="2:16" x14ac:dyDescent="0.25">
      <c r="B123" t="str">
        <f>Levels!M123</f>
        <v>North Close 18</v>
      </c>
      <c r="C123" s="27">
        <f>ROUND(Levels!O123, 1)</f>
        <v>56.3</v>
      </c>
      <c r="D123" s="27">
        <f>ROUND(Levels!Q123, 1)</f>
        <v>56.2</v>
      </c>
      <c r="E123" s="27">
        <f>ROUND(Levels!P123, 1)</f>
        <v>55.5</v>
      </c>
      <c r="F123" s="27">
        <f>ROUND(Levels!R123,1)</f>
        <v>56.2</v>
      </c>
      <c r="G123" s="5">
        <f t="shared" si="14"/>
        <v>-0.8</v>
      </c>
      <c r="H123" s="26" t="str">
        <f t="shared" si="15"/>
        <v>-</v>
      </c>
      <c r="I123" s="5">
        <f t="shared" si="16"/>
        <v>-0.1</v>
      </c>
      <c r="J123" s="5">
        <f t="shared" si="17"/>
        <v>-0.1</v>
      </c>
      <c r="K123" s="5" t="str">
        <f t="shared" si="18"/>
        <v>-</v>
      </c>
      <c r="L123" s="5">
        <f t="shared" si="19"/>
        <v>-0.1</v>
      </c>
      <c r="M123" s="5">
        <f t="shared" si="20"/>
        <v>-0.1</v>
      </c>
      <c r="N123" s="20" t="str">
        <f t="shared" si="21"/>
        <v>-</v>
      </c>
      <c r="O123" s="30">
        <f t="shared" si="22"/>
        <v>-9.6968137417124955E-4</v>
      </c>
      <c r="P123" s="30">
        <f t="shared" si="23"/>
        <v>-9.6968137417124955E-4</v>
      </c>
    </row>
    <row r="124" spans="2:16" x14ac:dyDescent="0.25">
      <c r="B124" t="str">
        <f>Levels!M124</f>
        <v>North Close 20</v>
      </c>
      <c r="C124" s="27">
        <f>ROUND(Levels!O124, 1)</f>
        <v>62</v>
      </c>
      <c r="D124" s="27">
        <f>ROUND(Levels!Q124, 1)</f>
        <v>62.4</v>
      </c>
      <c r="E124" s="27">
        <f>ROUND(Levels!P124, 1)</f>
        <v>61.9</v>
      </c>
      <c r="F124" s="27">
        <f>ROUND(Levels!R124,1)</f>
        <v>62.6</v>
      </c>
      <c r="G124" s="5">
        <f t="shared" si="14"/>
        <v>-0.1</v>
      </c>
      <c r="H124" s="26" t="str">
        <f t="shared" si="15"/>
        <v>-</v>
      </c>
      <c r="I124" s="5">
        <f t="shared" si="16"/>
        <v>0.4</v>
      </c>
      <c r="J124" s="5">
        <f t="shared" si="17"/>
        <v>0.4</v>
      </c>
      <c r="K124" s="5" t="str">
        <f t="shared" si="18"/>
        <v>Negligible</v>
      </c>
      <c r="L124" s="5">
        <f t="shared" si="19"/>
        <v>0.6</v>
      </c>
      <c r="M124" s="5">
        <f t="shared" si="20"/>
        <v>0.5</v>
      </c>
      <c r="N124" s="20" t="str">
        <f t="shared" si="21"/>
        <v>Negligible</v>
      </c>
      <c r="O124" s="30">
        <f t="shared" si="22"/>
        <v>6.6376344007340327E-3</v>
      </c>
      <c r="P124" s="30">
        <f t="shared" si="23"/>
        <v>1.0036631905516125E-2</v>
      </c>
    </row>
    <row r="125" spans="2:16" x14ac:dyDescent="0.25">
      <c r="B125" t="str">
        <f>Levels!M125</f>
        <v>North Close 21</v>
      </c>
      <c r="C125" s="27">
        <f>ROUND(Levels!O125, 1)</f>
        <v>62.3</v>
      </c>
      <c r="D125" s="27">
        <f>ROUND(Levels!Q125, 1)</f>
        <v>62.6</v>
      </c>
      <c r="E125" s="27">
        <f>ROUND(Levels!P125, 1)</f>
        <v>62</v>
      </c>
      <c r="F125" s="27">
        <f>ROUND(Levels!R125,1)</f>
        <v>62.7</v>
      </c>
      <c r="G125" s="5">
        <f t="shared" si="14"/>
        <v>-0.3</v>
      </c>
      <c r="H125" s="26" t="str">
        <f t="shared" si="15"/>
        <v>-</v>
      </c>
      <c r="I125" s="5">
        <f t="shared" si="16"/>
        <v>0.3</v>
      </c>
      <c r="J125" s="5">
        <f t="shared" si="17"/>
        <v>0.3</v>
      </c>
      <c r="K125" s="5" t="str">
        <f t="shared" si="18"/>
        <v>Negligible</v>
      </c>
      <c r="L125" s="5">
        <f t="shared" si="19"/>
        <v>0.4</v>
      </c>
      <c r="M125" s="5">
        <f t="shared" si="20"/>
        <v>0.4</v>
      </c>
      <c r="N125" s="20" t="str">
        <f t="shared" si="21"/>
        <v>Negligible</v>
      </c>
      <c r="O125" s="30">
        <f t="shared" si="22"/>
        <v>5.0783925628054005E-3</v>
      </c>
      <c r="P125" s="30">
        <f t="shared" si="23"/>
        <v>6.7980685369813387E-3</v>
      </c>
    </row>
    <row r="126" spans="2:16" x14ac:dyDescent="0.25">
      <c r="B126" t="str">
        <f>Levels!M126</f>
        <v>North Close 2</v>
      </c>
      <c r="C126" s="27">
        <f>ROUND(Levels!O126, 1)</f>
        <v>64.2</v>
      </c>
      <c r="D126" s="27">
        <f>ROUND(Levels!Q126, 1)</f>
        <v>64.599999999999994</v>
      </c>
      <c r="E126" s="27">
        <f>ROUND(Levels!P126, 1)</f>
        <v>64</v>
      </c>
      <c r="F126" s="27">
        <f>ROUND(Levels!R126,1)</f>
        <v>64.599999999999994</v>
      </c>
      <c r="G126" s="5">
        <f t="shared" si="14"/>
        <v>-0.2</v>
      </c>
      <c r="H126" s="26" t="str">
        <f t="shared" si="15"/>
        <v>-</v>
      </c>
      <c r="I126" s="5">
        <f t="shared" si="16"/>
        <v>0.4</v>
      </c>
      <c r="J126" s="5">
        <f t="shared" si="17"/>
        <v>0.4</v>
      </c>
      <c r="K126" s="5" t="str">
        <f t="shared" si="18"/>
        <v>Negligible</v>
      </c>
      <c r="L126" s="5">
        <f t="shared" si="19"/>
        <v>0.4</v>
      </c>
      <c r="M126" s="5">
        <f t="shared" si="20"/>
        <v>0.4</v>
      </c>
      <c r="N126" s="20" t="str">
        <f t="shared" si="21"/>
        <v>Negligible</v>
      </c>
      <c r="O126" s="30">
        <f t="shared" si="22"/>
        <v>7.8381954515725771E-3</v>
      </c>
      <c r="P126" s="30">
        <f t="shared" si="23"/>
        <v>7.8381954515725771E-3</v>
      </c>
    </row>
    <row r="127" spans="2:16" x14ac:dyDescent="0.25">
      <c r="B127" t="str">
        <f>Levels!M127</f>
        <v>North Close 3</v>
      </c>
      <c r="C127" s="27">
        <f>ROUND(Levels!O127, 1)</f>
        <v>63.9</v>
      </c>
      <c r="D127" s="27">
        <f>ROUND(Levels!Q127, 1)</f>
        <v>64.3</v>
      </c>
      <c r="E127" s="27">
        <f>ROUND(Levels!P127, 1)</f>
        <v>63.6</v>
      </c>
      <c r="F127" s="27">
        <f>ROUND(Levels!R127,1)</f>
        <v>64.3</v>
      </c>
      <c r="G127" s="5">
        <f t="shared" si="14"/>
        <v>-0.3</v>
      </c>
      <c r="H127" s="26" t="str">
        <f t="shared" si="15"/>
        <v>-</v>
      </c>
      <c r="I127" s="5">
        <f t="shared" si="16"/>
        <v>0.4</v>
      </c>
      <c r="J127" s="5">
        <f t="shared" si="17"/>
        <v>0.4</v>
      </c>
      <c r="K127" s="5" t="str">
        <f t="shared" si="18"/>
        <v>Negligible</v>
      </c>
      <c r="L127" s="5">
        <f t="shared" si="19"/>
        <v>0.4</v>
      </c>
      <c r="M127" s="5">
        <f t="shared" si="20"/>
        <v>0.4</v>
      </c>
      <c r="N127" s="20" t="str">
        <f t="shared" si="21"/>
        <v>Negligible</v>
      </c>
      <c r="O127" s="30">
        <f t="shared" si="22"/>
        <v>7.6721710355051875E-3</v>
      </c>
      <c r="P127" s="30">
        <f t="shared" si="23"/>
        <v>7.6721710355051875E-3</v>
      </c>
    </row>
    <row r="128" spans="2:16" x14ac:dyDescent="0.25">
      <c r="B128" t="str">
        <f>Levels!M128</f>
        <v>North Close 4</v>
      </c>
      <c r="C128" s="27">
        <f>ROUND(Levels!O128, 1)</f>
        <v>64</v>
      </c>
      <c r="D128" s="27">
        <f>ROUND(Levels!Q128, 1)</f>
        <v>64.400000000000006</v>
      </c>
      <c r="E128" s="27">
        <f>ROUND(Levels!P128, 1)</f>
        <v>63.8</v>
      </c>
      <c r="F128" s="27">
        <f>ROUND(Levels!R128,1)</f>
        <v>64.5</v>
      </c>
      <c r="G128" s="5">
        <f t="shared" si="14"/>
        <v>-0.2</v>
      </c>
      <c r="H128" s="26" t="str">
        <f t="shared" si="15"/>
        <v>-</v>
      </c>
      <c r="I128" s="5">
        <f t="shared" si="16"/>
        <v>0.4</v>
      </c>
      <c r="J128" s="5">
        <f t="shared" si="17"/>
        <v>0.4</v>
      </c>
      <c r="K128" s="5" t="str">
        <f t="shared" si="18"/>
        <v>Negligible</v>
      </c>
      <c r="L128" s="5">
        <f t="shared" si="19"/>
        <v>0.5</v>
      </c>
      <c r="M128" s="5">
        <f t="shared" si="20"/>
        <v>0.5</v>
      </c>
      <c r="N128" s="20" t="str">
        <f t="shared" si="21"/>
        <v>Negligible</v>
      </c>
      <c r="O128" s="30">
        <f t="shared" si="22"/>
        <v>7.7274771780572737E-3</v>
      </c>
      <c r="P128" s="30">
        <f t="shared" si="23"/>
        <v>9.6939471182173609E-3</v>
      </c>
    </row>
    <row r="129" spans="2:16" x14ac:dyDescent="0.25">
      <c r="B129" t="str">
        <f>Levels!M129</f>
        <v>North Close 5</v>
      </c>
      <c r="C129" s="27">
        <f>ROUND(Levels!O129, 1)</f>
        <v>60.9</v>
      </c>
      <c r="D129" s="27">
        <f>ROUND(Levels!Q129, 1)</f>
        <v>61.3</v>
      </c>
      <c r="E129" s="27">
        <f>ROUND(Levels!P129, 1)</f>
        <v>60.7</v>
      </c>
      <c r="F129" s="27">
        <f>ROUND(Levels!R129,1)</f>
        <v>61.4</v>
      </c>
      <c r="G129" s="5">
        <f t="shared" si="14"/>
        <v>-0.2</v>
      </c>
      <c r="H129" s="26" t="str">
        <f t="shared" si="15"/>
        <v>-</v>
      </c>
      <c r="I129" s="5">
        <f t="shared" si="16"/>
        <v>0.4</v>
      </c>
      <c r="J129" s="5">
        <f t="shared" si="17"/>
        <v>0.4</v>
      </c>
      <c r="K129" s="5" t="str">
        <f t="shared" si="18"/>
        <v>Negligible</v>
      </c>
      <c r="L129" s="5">
        <f t="shared" si="19"/>
        <v>0.5</v>
      </c>
      <c r="M129" s="5">
        <f t="shared" si="20"/>
        <v>0.5</v>
      </c>
      <c r="N129" s="20" t="str">
        <f t="shared" si="21"/>
        <v>Negligible</v>
      </c>
      <c r="O129" s="30">
        <f t="shared" si="22"/>
        <v>6.0628698527991354E-3</v>
      </c>
      <c r="P129" s="30">
        <f t="shared" si="23"/>
        <v>7.6107007907784407E-3</v>
      </c>
    </row>
    <row r="130" spans="2:16" x14ac:dyDescent="0.25">
      <c r="B130" t="str">
        <f>Levels!M130</f>
        <v>North Close 6</v>
      </c>
      <c r="C130" s="27">
        <f>ROUND(Levels!O130, 1)</f>
        <v>58.5</v>
      </c>
      <c r="D130" s="27">
        <f>ROUND(Levels!Q130, 1)</f>
        <v>59</v>
      </c>
      <c r="E130" s="27">
        <f>ROUND(Levels!P130, 1)</f>
        <v>58.3</v>
      </c>
      <c r="F130" s="27">
        <f>ROUND(Levels!R130,1)</f>
        <v>59.1</v>
      </c>
      <c r="G130" s="5">
        <f t="shared" si="14"/>
        <v>-0.2</v>
      </c>
      <c r="H130" s="26" t="str">
        <f t="shared" si="15"/>
        <v>-</v>
      </c>
      <c r="I130" s="5">
        <f t="shared" si="16"/>
        <v>0.5</v>
      </c>
      <c r="J130" s="5">
        <f t="shared" si="17"/>
        <v>0.5</v>
      </c>
      <c r="K130" s="5" t="str">
        <f t="shared" si="18"/>
        <v>Negligible</v>
      </c>
      <c r="L130" s="5">
        <f t="shared" si="19"/>
        <v>0.6</v>
      </c>
      <c r="M130" s="5">
        <f t="shared" si="20"/>
        <v>0.5</v>
      </c>
      <c r="N130" s="20" t="str">
        <f t="shared" si="21"/>
        <v>Negligible</v>
      </c>
      <c r="O130" s="30">
        <f t="shared" si="22"/>
        <v>6.1570919500385929E-3</v>
      </c>
      <c r="P130" s="30">
        <f t="shared" si="23"/>
        <v>7.422783446099035E-3</v>
      </c>
    </row>
    <row r="131" spans="2:16" x14ac:dyDescent="0.25">
      <c r="B131" t="str">
        <f>Levels!M131</f>
        <v>North Lane 17</v>
      </c>
      <c r="C131" s="27">
        <f>ROUND(Levels!O131, 1)</f>
        <v>59</v>
      </c>
      <c r="D131" s="27">
        <f>ROUND(Levels!Q131, 1)</f>
        <v>59.7</v>
      </c>
      <c r="E131" s="27">
        <f>ROUND(Levels!P131, 1)</f>
        <v>55.8</v>
      </c>
      <c r="F131" s="27">
        <f>ROUND(Levels!R131,1)</f>
        <v>56.5</v>
      </c>
      <c r="G131" s="5">
        <f t="shared" si="14"/>
        <v>-3.2</v>
      </c>
      <c r="H131" s="26" t="str">
        <f t="shared" si="15"/>
        <v>-</v>
      </c>
      <c r="I131" s="5">
        <f t="shared" si="16"/>
        <v>0.7</v>
      </c>
      <c r="J131" s="5">
        <f t="shared" si="17"/>
        <v>0.6</v>
      </c>
      <c r="K131" s="5" t="str">
        <f t="shared" si="18"/>
        <v>Negligible</v>
      </c>
      <c r="L131" s="5">
        <f t="shared" si="19"/>
        <v>-2.5</v>
      </c>
      <c r="M131" s="5">
        <f t="shared" si="20"/>
        <v>-2.2999999999999998</v>
      </c>
      <c r="N131" s="20" t="str">
        <f t="shared" si="21"/>
        <v>-</v>
      </c>
      <c r="O131" s="30">
        <f t="shared" si="22"/>
        <v>9.1053606072843685E-3</v>
      </c>
      <c r="P131" s="30">
        <f t="shared" si="23"/>
        <v>-2.80799610072614E-2</v>
      </c>
    </row>
    <row r="132" spans="2:16" x14ac:dyDescent="0.25">
      <c r="B132" t="str">
        <f>Levels!M132</f>
        <v>North Lane 19</v>
      </c>
      <c r="C132" s="27">
        <f>ROUND(Levels!O132, 1)</f>
        <v>58.7</v>
      </c>
      <c r="D132" s="27">
        <f>ROUND(Levels!Q132, 1)</f>
        <v>59.5</v>
      </c>
      <c r="E132" s="27">
        <f>ROUND(Levels!P132, 1)</f>
        <v>55.1</v>
      </c>
      <c r="F132" s="27">
        <f>ROUND(Levels!R132,1)</f>
        <v>55.8</v>
      </c>
      <c r="G132" s="5">
        <f t="shared" si="14"/>
        <v>-3.6</v>
      </c>
      <c r="H132" s="26" t="str">
        <f t="shared" si="15"/>
        <v>-</v>
      </c>
      <c r="I132" s="5">
        <f t="shared" si="16"/>
        <v>0.8</v>
      </c>
      <c r="J132" s="5">
        <f t="shared" si="17"/>
        <v>0.7</v>
      </c>
      <c r="K132" s="5" t="str">
        <f t="shared" si="18"/>
        <v>Negligible</v>
      </c>
      <c r="L132" s="5">
        <f t="shared" si="19"/>
        <v>-2.9</v>
      </c>
      <c r="M132" s="5">
        <f t="shared" si="20"/>
        <v>-2.6</v>
      </c>
      <c r="N132" s="20" t="str">
        <f t="shared" si="21"/>
        <v>-</v>
      </c>
      <c r="O132" s="30">
        <f t="shared" ref="O132:O163" si="24">NuisanceByL10(D132) - NuisanceByL10(C132)</f>
        <v>1.0173191388762867E-2</v>
      </c>
      <c r="P132" s="30">
        <f t="shared" ref="P132:P163" si="25">MAX(NuisanceByL10(F132)-NuisanceByL10(C132), NuisanceChangeByL10Change(G132))</f>
        <v>-3.1073723391855851E-2</v>
      </c>
    </row>
    <row r="133" spans="2:16" x14ac:dyDescent="0.25">
      <c r="B133" t="str">
        <f>Levels!M133</f>
        <v>North Lane 21</v>
      </c>
      <c r="C133" s="27">
        <f>ROUND(Levels!O133, 1)</f>
        <v>58.8</v>
      </c>
      <c r="D133" s="27">
        <f>ROUND(Levels!Q133, 1)</f>
        <v>59.6</v>
      </c>
      <c r="E133" s="27">
        <f>ROUND(Levels!P133, 1)</f>
        <v>55.2</v>
      </c>
      <c r="F133" s="27">
        <f>ROUND(Levels!R133,1)</f>
        <v>56</v>
      </c>
      <c r="G133" s="5">
        <f t="shared" ref="G133:G190" si="26">ROUND(E133-C133, 1)</f>
        <v>-3.6</v>
      </c>
      <c r="H133" s="26" t="str">
        <f t="shared" ref="H133:H190" si="27">ShortTermImpact(G133)</f>
        <v>-</v>
      </c>
      <c r="I133" s="5">
        <f t="shared" ref="I133:I190" si="28">ROUND(D133-C133,1)</f>
        <v>0.8</v>
      </c>
      <c r="J133" s="5">
        <f t="shared" ref="J133:J190" si="29">ROUND(0.9*I133,1)</f>
        <v>0.7</v>
      </c>
      <c r="K133" s="5" t="str">
        <f t="shared" ref="K133:K190" si="30">LongTermImpact(I133)</f>
        <v>Negligible</v>
      </c>
      <c r="L133" s="5">
        <f t="shared" ref="L133:L190" si="31">ROUND(F133-C133, 1)</f>
        <v>-2.8</v>
      </c>
      <c r="M133" s="5">
        <f t="shared" ref="M133:M190" si="32">ROUND(0.9*L133, 1)</f>
        <v>-2.5</v>
      </c>
      <c r="N133" s="20" t="str">
        <f t="shared" ref="N133:N190" si="33">LongTermImpact(L133)</f>
        <v>-</v>
      </c>
      <c r="O133" s="30">
        <f t="shared" si="24"/>
        <v>1.026609978816069E-2</v>
      </c>
      <c r="P133" s="30">
        <f t="shared" si="25"/>
        <v>-3.0431820880992597E-2</v>
      </c>
    </row>
    <row r="134" spans="2:16" x14ac:dyDescent="0.25">
      <c r="B134" t="str">
        <f>Levels!M134</f>
        <v>North Lane 23</v>
      </c>
      <c r="C134" s="27">
        <f>ROUND(Levels!O134, 1)</f>
        <v>58.6</v>
      </c>
      <c r="D134" s="27">
        <f>ROUND(Levels!Q134, 1)</f>
        <v>59.4</v>
      </c>
      <c r="E134" s="27">
        <f>ROUND(Levels!P134, 1)</f>
        <v>54.7</v>
      </c>
      <c r="F134" s="27">
        <f>ROUND(Levels!R134,1)</f>
        <v>55.4</v>
      </c>
      <c r="G134" s="5">
        <f t="shared" si="26"/>
        <v>-3.9</v>
      </c>
      <c r="H134" s="26" t="str">
        <f t="shared" si="27"/>
        <v>-</v>
      </c>
      <c r="I134" s="5">
        <f t="shared" si="28"/>
        <v>0.8</v>
      </c>
      <c r="J134" s="5">
        <f t="shared" si="29"/>
        <v>0.7</v>
      </c>
      <c r="K134" s="5" t="str">
        <f t="shared" si="30"/>
        <v>Negligible</v>
      </c>
      <c r="L134" s="5">
        <f t="shared" si="31"/>
        <v>-3.2</v>
      </c>
      <c r="M134" s="5">
        <f t="shared" si="32"/>
        <v>-2.9</v>
      </c>
      <c r="N134" s="20" t="str">
        <f t="shared" si="33"/>
        <v>-</v>
      </c>
      <c r="O134" s="30">
        <f t="shared" si="24"/>
        <v>1.0080816057891503E-2</v>
      </c>
      <c r="P134" s="30">
        <f t="shared" si="25"/>
        <v>-3.3489767327033529E-2</v>
      </c>
    </row>
    <row r="135" spans="2:16" x14ac:dyDescent="0.25">
      <c r="B135" t="str">
        <f>Levels!M135</f>
        <v>North Lane 27</v>
      </c>
      <c r="C135" s="27">
        <f>ROUND(Levels!O135, 1)</f>
        <v>58.7</v>
      </c>
      <c r="D135" s="27">
        <f>ROUND(Levels!Q135, 1)</f>
        <v>59.5</v>
      </c>
      <c r="E135" s="27">
        <f>ROUND(Levels!P135, 1)</f>
        <v>55</v>
      </c>
      <c r="F135" s="27">
        <f>ROUND(Levels!R135,1)</f>
        <v>55.7</v>
      </c>
      <c r="G135" s="5">
        <f t="shared" si="26"/>
        <v>-3.7</v>
      </c>
      <c r="H135" s="26" t="str">
        <f t="shared" si="27"/>
        <v>-</v>
      </c>
      <c r="I135" s="5">
        <f t="shared" si="28"/>
        <v>0.8</v>
      </c>
      <c r="J135" s="5">
        <f t="shared" si="29"/>
        <v>0.7</v>
      </c>
      <c r="K135" s="5" t="str">
        <f t="shared" si="30"/>
        <v>Negligible</v>
      </c>
      <c r="L135" s="5">
        <f t="shared" si="31"/>
        <v>-3</v>
      </c>
      <c r="M135" s="5">
        <f t="shared" si="32"/>
        <v>-2.7</v>
      </c>
      <c r="N135" s="20" t="str">
        <f t="shared" si="33"/>
        <v>-</v>
      </c>
      <c r="O135" s="30">
        <f t="shared" si="24"/>
        <v>1.0173191388762867E-2</v>
      </c>
      <c r="P135" s="30">
        <f t="shared" si="25"/>
        <v>-3.199643963250777E-2</v>
      </c>
    </row>
    <row r="136" spans="2:16" x14ac:dyDescent="0.25">
      <c r="B136" t="str">
        <f>Levels!M136</f>
        <v>North Lane 29</v>
      </c>
      <c r="C136" s="27">
        <f>ROUND(Levels!O136, 1)</f>
        <v>58.6</v>
      </c>
      <c r="D136" s="27">
        <f>ROUND(Levels!Q136, 1)</f>
        <v>59.4</v>
      </c>
      <c r="E136" s="27">
        <f>ROUND(Levels!P136, 1)</f>
        <v>54.8</v>
      </c>
      <c r="F136" s="27">
        <f>ROUND(Levels!R136,1)</f>
        <v>55.6</v>
      </c>
      <c r="G136" s="5">
        <f t="shared" si="26"/>
        <v>-3.8</v>
      </c>
      <c r="H136" s="26" t="str">
        <f t="shared" si="27"/>
        <v>-</v>
      </c>
      <c r="I136" s="5">
        <f t="shared" si="28"/>
        <v>0.8</v>
      </c>
      <c r="J136" s="5">
        <f t="shared" si="29"/>
        <v>0.7</v>
      </c>
      <c r="K136" s="5" t="str">
        <f t="shared" si="30"/>
        <v>Negligible</v>
      </c>
      <c r="L136" s="5">
        <f t="shared" si="31"/>
        <v>-3</v>
      </c>
      <c r="M136" s="5">
        <f t="shared" si="32"/>
        <v>-2.7</v>
      </c>
      <c r="N136" s="20" t="str">
        <f t="shared" si="33"/>
        <v>-</v>
      </c>
      <c r="O136" s="30">
        <f t="shared" si="24"/>
        <v>1.0080816057891503E-2</v>
      </c>
      <c r="P136" s="30">
        <f t="shared" si="25"/>
        <v>-3.1689938972332521E-2</v>
      </c>
    </row>
    <row r="137" spans="2:16" x14ac:dyDescent="0.25">
      <c r="B137" t="str">
        <f>Levels!M137</f>
        <v>North Lane 31</v>
      </c>
      <c r="C137" s="27">
        <f>ROUND(Levels!O137, 1)</f>
        <v>58.8</v>
      </c>
      <c r="D137" s="27">
        <f>ROUND(Levels!Q137, 1)</f>
        <v>59.6</v>
      </c>
      <c r="E137" s="27">
        <f>ROUND(Levels!P137, 1)</f>
        <v>55</v>
      </c>
      <c r="F137" s="27">
        <f>ROUND(Levels!R137,1)</f>
        <v>55.8</v>
      </c>
      <c r="G137" s="5">
        <f t="shared" si="26"/>
        <v>-3.8</v>
      </c>
      <c r="H137" s="26" t="str">
        <f t="shared" si="27"/>
        <v>-</v>
      </c>
      <c r="I137" s="5">
        <f t="shared" si="28"/>
        <v>0.8</v>
      </c>
      <c r="J137" s="5">
        <f t="shared" si="29"/>
        <v>0.7</v>
      </c>
      <c r="K137" s="5" t="str">
        <f t="shared" si="30"/>
        <v>Negligible</v>
      </c>
      <c r="L137" s="5">
        <f t="shared" si="31"/>
        <v>-3</v>
      </c>
      <c r="M137" s="5">
        <f t="shared" si="32"/>
        <v>-2.7</v>
      </c>
      <c r="N137" s="20" t="str">
        <f t="shared" si="33"/>
        <v>-</v>
      </c>
      <c r="O137" s="30">
        <f t="shared" si="24"/>
        <v>1.026609978816069E-2</v>
      </c>
      <c r="P137" s="30">
        <f t="shared" si="25"/>
        <v>-3.2305073642182353E-2</v>
      </c>
    </row>
    <row r="138" spans="2:16" x14ac:dyDescent="0.25">
      <c r="B138" t="str">
        <f>Levels!M138</f>
        <v>The Green 41</v>
      </c>
      <c r="C138" s="27">
        <f>ROUND(Levels!O138, 1)</f>
        <v>65.400000000000006</v>
      </c>
      <c r="D138" s="27">
        <f>ROUND(Levels!Q138, 1)</f>
        <v>65.7</v>
      </c>
      <c r="E138" s="27">
        <f>ROUND(Levels!P138, 1)</f>
        <v>62.3</v>
      </c>
      <c r="F138" s="27">
        <f>ROUND(Levels!R138,1)</f>
        <v>63.1</v>
      </c>
      <c r="G138" s="5">
        <f t="shared" si="26"/>
        <v>-3.1</v>
      </c>
      <c r="H138" s="26" t="str">
        <f t="shared" si="27"/>
        <v>-</v>
      </c>
      <c r="I138" s="5">
        <f t="shared" si="28"/>
        <v>0.3</v>
      </c>
      <c r="J138" s="5">
        <f t="shared" si="29"/>
        <v>0.3</v>
      </c>
      <c r="K138" s="5" t="str">
        <f t="shared" si="30"/>
        <v>Negligible</v>
      </c>
      <c r="L138" s="5">
        <f t="shared" si="31"/>
        <v>-2.2999999999999998</v>
      </c>
      <c r="M138" s="5">
        <f t="shared" si="32"/>
        <v>-2.1</v>
      </c>
      <c r="N138" s="20" t="str">
        <f t="shared" si="33"/>
        <v>-</v>
      </c>
      <c r="O138" s="30">
        <f t="shared" si="24"/>
        <v>6.3559877756144689E-3</v>
      </c>
      <c r="P138" s="30">
        <f t="shared" si="25"/>
        <v>-4.4596188458054103E-2</v>
      </c>
    </row>
    <row r="139" spans="2:16" x14ac:dyDescent="0.25">
      <c r="B139" t="str">
        <f>Levels!M139</f>
        <v>The Green 39</v>
      </c>
      <c r="C139" s="27">
        <f>ROUND(Levels!O139, 1)</f>
        <v>65.3</v>
      </c>
      <c r="D139" s="27">
        <f>ROUND(Levels!Q139, 1)</f>
        <v>65.599999999999994</v>
      </c>
      <c r="E139" s="27">
        <f>ROUND(Levels!P139, 1)</f>
        <v>62.2</v>
      </c>
      <c r="F139" s="27">
        <f>ROUND(Levels!R139,1)</f>
        <v>63</v>
      </c>
      <c r="G139" s="5">
        <f t="shared" si="26"/>
        <v>-3.1</v>
      </c>
      <c r="H139" s="26" t="str">
        <f t="shared" si="27"/>
        <v>-</v>
      </c>
      <c r="I139" s="5">
        <f t="shared" si="28"/>
        <v>0.3</v>
      </c>
      <c r="J139" s="5">
        <f t="shared" si="29"/>
        <v>0.3</v>
      </c>
      <c r="K139" s="5" t="str">
        <f t="shared" si="30"/>
        <v>Negligible</v>
      </c>
      <c r="L139" s="5">
        <f t="shared" si="31"/>
        <v>-2.2999999999999998</v>
      </c>
      <c r="M139" s="5">
        <f t="shared" si="32"/>
        <v>-2.1</v>
      </c>
      <c r="N139" s="20" t="str">
        <f t="shared" si="33"/>
        <v>-</v>
      </c>
      <c r="O139" s="30">
        <f t="shared" si="24"/>
        <v>6.3146238296644397E-3</v>
      </c>
      <c r="P139" s="30">
        <f t="shared" si="25"/>
        <v>-4.4278975963222639E-2</v>
      </c>
    </row>
    <row r="140" spans="2:16" x14ac:dyDescent="0.25">
      <c r="B140" t="str">
        <f>Levels!M140</f>
        <v>The Green 37</v>
      </c>
      <c r="C140" s="27">
        <f>ROUND(Levels!O140, 1)</f>
        <v>65.2</v>
      </c>
      <c r="D140" s="27">
        <f>ROUND(Levels!Q140, 1)</f>
        <v>65.599999999999994</v>
      </c>
      <c r="E140" s="27">
        <f>ROUND(Levels!P140, 1)</f>
        <v>62</v>
      </c>
      <c r="F140" s="27">
        <f>ROUND(Levels!R140,1)</f>
        <v>62.8</v>
      </c>
      <c r="G140" s="5">
        <f t="shared" si="26"/>
        <v>-3.2</v>
      </c>
      <c r="H140" s="26" t="str">
        <f t="shared" si="27"/>
        <v>-</v>
      </c>
      <c r="I140" s="5">
        <f t="shared" si="28"/>
        <v>0.4</v>
      </c>
      <c r="J140" s="5">
        <f t="shared" si="29"/>
        <v>0.4</v>
      </c>
      <c r="K140" s="5" t="str">
        <f t="shared" si="30"/>
        <v>Negligible</v>
      </c>
      <c r="L140" s="5">
        <f t="shared" si="31"/>
        <v>-2.4</v>
      </c>
      <c r="M140" s="5">
        <f t="shared" si="32"/>
        <v>-2.2000000000000002</v>
      </c>
      <c r="N140" s="20" t="str">
        <f t="shared" si="33"/>
        <v>-</v>
      </c>
      <c r="O140" s="30">
        <f t="shared" si="24"/>
        <v>8.3918807921101179E-3</v>
      </c>
      <c r="P140" s="30">
        <f t="shared" si="25"/>
        <v>-4.5708693757985169E-2</v>
      </c>
    </row>
    <row r="141" spans="2:16" x14ac:dyDescent="0.25">
      <c r="B141" t="str">
        <f>Levels!M141</f>
        <v>The Green 35</v>
      </c>
      <c r="C141" s="27">
        <f>ROUND(Levels!O141, 1)</f>
        <v>65</v>
      </c>
      <c r="D141" s="27">
        <f>ROUND(Levels!Q141, 1)</f>
        <v>65.400000000000006</v>
      </c>
      <c r="E141" s="27">
        <f>ROUND(Levels!P141, 1)</f>
        <v>61.6</v>
      </c>
      <c r="F141" s="27">
        <f>ROUND(Levels!R141,1)</f>
        <v>62.4</v>
      </c>
      <c r="G141" s="5">
        <f t="shared" si="26"/>
        <v>-3.4</v>
      </c>
      <c r="H141" s="26" t="str">
        <f t="shared" si="27"/>
        <v>-</v>
      </c>
      <c r="I141" s="5">
        <f t="shared" si="28"/>
        <v>0.4</v>
      </c>
      <c r="J141" s="5">
        <f t="shared" si="29"/>
        <v>0.4</v>
      </c>
      <c r="K141" s="5" t="str">
        <f t="shared" si="30"/>
        <v>Negligible</v>
      </c>
      <c r="L141" s="5">
        <f t="shared" si="31"/>
        <v>-2.6</v>
      </c>
      <c r="M141" s="5">
        <f t="shared" si="32"/>
        <v>-2.2999999999999998</v>
      </c>
      <c r="N141" s="20" t="str">
        <f t="shared" si="33"/>
        <v>-</v>
      </c>
      <c r="O141" s="30">
        <f t="shared" si="24"/>
        <v>8.2813470871380968E-3</v>
      </c>
      <c r="P141" s="30">
        <f t="shared" si="25"/>
        <v>-4.8447526595457396E-2</v>
      </c>
    </row>
    <row r="142" spans="2:16" x14ac:dyDescent="0.25">
      <c r="B142" t="str">
        <f>Levels!M142</f>
        <v>El Sub Sta 1</v>
      </c>
      <c r="C142" s="27">
        <f>ROUND(Levels!O142, 1)</f>
        <v>62.2</v>
      </c>
      <c r="D142" s="27">
        <f>ROUND(Levels!Q142, 1)</f>
        <v>62.7</v>
      </c>
      <c r="E142" s="27">
        <f>ROUND(Levels!P142, 1)</f>
        <v>61.9</v>
      </c>
      <c r="F142" s="27">
        <f>ROUND(Levels!R142,1)</f>
        <v>62.7</v>
      </c>
      <c r="G142" s="5">
        <f t="shared" si="26"/>
        <v>-0.3</v>
      </c>
      <c r="H142" s="26" t="str">
        <f t="shared" si="27"/>
        <v>-</v>
      </c>
      <c r="I142" s="5">
        <f t="shared" si="28"/>
        <v>0.5</v>
      </c>
      <c r="J142" s="5">
        <f t="shared" si="29"/>
        <v>0.5</v>
      </c>
      <c r="K142" s="5" t="str">
        <f t="shared" si="30"/>
        <v>Negligible</v>
      </c>
      <c r="L142" s="5">
        <f t="shared" si="31"/>
        <v>0.5</v>
      </c>
      <c r="M142" s="5">
        <f t="shared" si="32"/>
        <v>0.5</v>
      </c>
      <c r="N142" s="20" t="str">
        <f t="shared" si="33"/>
        <v>Negligible</v>
      </c>
      <c r="O142" s="30">
        <f t="shared" si="24"/>
        <v>8.4641123749590041E-3</v>
      </c>
      <c r="P142" s="30">
        <f t="shared" si="25"/>
        <v>8.4641123749590041E-3</v>
      </c>
    </row>
    <row r="143" spans="2:16" x14ac:dyDescent="0.25">
      <c r="B143" t="str">
        <f>Levels!M143</f>
        <v>El Sub Sta 2</v>
      </c>
      <c r="C143" s="27">
        <f>ROUND(Levels!O143, 1)</f>
        <v>62.3</v>
      </c>
      <c r="D143" s="27">
        <f>ROUND(Levels!Q143, 1)</f>
        <v>62.9</v>
      </c>
      <c r="E143" s="27">
        <f>ROUND(Levels!P143, 1)</f>
        <v>62.1</v>
      </c>
      <c r="F143" s="27">
        <f>ROUND(Levels!R143,1)</f>
        <v>62.9</v>
      </c>
      <c r="G143" s="5">
        <f t="shared" si="26"/>
        <v>-0.2</v>
      </c>
      <c r="H143" s="26" t="str">
        <f t="shared" si="27"/>
        <v>-</v>
      </c>
      <c r="I143" s="5">
        <f t="shared" si="28"/>
        <v>0.6</v>
      </c>
      <c r="J143" s="5">
        <f t="shared" si="29"/>
        <v>0.5</v>
      </c>
      <c r="K143" s="5" t="str">
        <f t="shared" si="30"/>
        <v>Negligible</v>
      </c>
      <c r="L143" s="5">
        <f t="shared" si="31"/>
        <v>0.6</v>
      </c>
      <c r="M143" s="5">
        <f t="shared" si="32"/>
        <v>0.5</v>
      </c>
      <c r="N143" s="20" t="str">
        <f t="shared" si="33"/>
        <v>Negligible</v>
      </c>
      <c r="O143" s="30">
        <f t="shared" si="24"/>
        <v>1.0277948425220063E-2</v>
      </c>
      <c r="P143" s="30">
        <f t="shared" si="25"/>
        <v>1.0277948425220063E-2</v>
      </c>
    </row>
    <row r="144" spans="2:16" x14ac:dyDescent="0.25">
      <c r="B144" t="str">
        <f>Levels!M144</f>
        <v>El Sub Sta 3</v>
      </c>
      <c r="C144" s="27">
        <f>ROUND(Levels!O144, 1)</f>
        <v>62.1</v>
      </c>
      <c r="D144" s="27">
        <f>ROUND(Levels!Q144, 1)</f>
        <v>62.7</v>
      </c>
      <c r="E144" s="27">
        <f>ROUND(Levels!P144, 1)</f>
        <v>61.9</v>
      </c>
      <c r="F144" s="27">
        <f>ROUND(Levels!R144,1)</f>
        <v>62.6</v>
      </c>
      <c r="G144" s="5">
        <f t="shared" si="26"/>
        <v>-0.2</v>
      </c>
      <c r="H144" s="26" t="str">
        <f t="shared" si="27"/>
        <v>-</v>
      </c>
      <c r="I144" s="5">
        <f t="shared" si="28"/>
        <v>0.6</v>
      </c>
      <c r="J144" s="5">
        <f t="shared" si="29"/>
        <v>0.5</v>
      </c>
      <c r="K144" s="5" t="str">
        <f t="shared" si="30"/>
        <v>Negligible</v>
      </c>
      <c r="L144" s="5">
        <f t="shared" si="31"/>
        <v>0.5</v>
      </c>
      <c r="M144" s="5">
        <f t="shared" si="32"/>
        <v>0.5</v>
      </c>
      <c r="N144" s="20" t="str">
        <f t="shared" si="33"/>
        <v>Negligible</v>
      </c>
      <c r="O144" s="30">
        <f t="shared" si="24"/>
        <v>1.0116845049135653E-2</v>
      </c>
      <c r="P144" s="30">
        <f t="shared" si="25"/>
        <v>8.397169074959715E-3</v>
      </c>
    </row>
    <row r="145" spans="2:16" x14ac:dyDescent="0.25">
      <c r="B145" t="str">
        <f>Levels!M145</f>
        <v>El Sub Sta 4</v>
      </c>
      <c r="C145" s="27">
        <f>ROUND(Levels!O145, 1)</f>
        <v>62.3</v>
      </c>
      <c r="D145" s="27">
        <f>ROUND(Levels!Q145, 1)</f>
        <v>62.9</v>
      </c>
      <c r="E145" s="27">
        <f>ROUND(Levels!P145, 1)</f>
        <v>62.1</v>
      </c>
      <c r="F145" s="27">
        <f>ROUND(Levels!R145,1)</f>
        <v>62.9</v>
      </c>
      <c r="G145" s="5">
        <f t="shared" si="26"/>
        <v>-0.2</v>
      </c>
      <c r="H145" s="26" t="str">
        <f t="shared" si="27"/>
        <v>-</v>
      </c>
      <c r="I145" s="5">
        <f t="shared" si="28"/>
        <v>0.6</v>
      </c>
      <c r="J145" s="5">
        <f t="shared" si="29"/>
        <v>0.5</v>
      </c>
      <c r="K145" s="5" t="str">
        <f t="shared" si="30"/>
        <v>Negligible</v>
      </c>
      <c r="L145" s="5">
        <f t="shared" si="31"/>
        <v>0.6</v>
      </c>
      <c r="M145" s="5">
        <f t="shared" si="32"/>
        <v>0.5</v>
      </c>
      <c r="N145" s="20" t="str">
        <f t="shared" si="33"/>
        <v>Negligible</v>
      </c>
      <c r="O145" s="30">
        <f t="shared" si="24"/>
        <v>1.0277948425220063E-2</v>
      </c>
      <c r="P145" s="30">
        <f t="shared" si="25"/>
        <v>1.0277948425220063E-2</v>
      </c>
    </row>
    <row r="146" spans="2:16" x14ac:dyDescent="0.25">
      <c r="B146" t="str">
        <f>Levels!M146</f>
        <v>El Sub Sta 5</v>
      </c>
      <c r="C146" s="27">
        <f>ROUND(Levels!O146, 1)</f>
        <v>62.4</v>
      </c>
      <c r="D146" s="27">
        <f>ROUND(Levels!Q146, 1)</f>
        <v>62.9</v>
      </c>
      <c r="E146" s="27">
        <f>ROUND(Levels!P146, 1)</f>
        <v>62.2</v>
      </c>
      <c r="F146" s="27">
        <f>ROUND(Levels!R146,1)</f>
        <v>62.9</v>
      </c>
      <c r="G146" s="5">
        <f t="shared" si="26"/>
        <v>-0.2</v>
      </c>
      <c r="H146" s="26" t="str">
        <f t="shared" si="27"/>
        <v>-</v>
      </c>
      <c r="I146" s="5">
        <f t="shared" si="28"/>
        <v>0.5</v>
      </c>
      <c r="J146" s="5">
        <f t="shared" si="29"/>
        <v>0.5</v>
      </c>
      <c r="K146" s="5" t="str">
        <f t="shared" si="30"/>
        <v>Negligible</v>
      </c>
      <c r="L146" s="5">
        <f t="shared" si="31"/>
        <v>0.5</v>
      </c>
      <c r="M146" s="5">
        <f t="shared" si="32"/>
        <v>0.5</v>
      </c>
      <c r="N146" s="20" t="str">
        <f t="shared" si="33"/>
        <v>Negligible</v>
      </c>
      <c r="O146" s="30">
        <f t="shared" si="24"/>
        <v>8.598553367196754E-3</v>
      </c>
      <c r="P146" s="30">
        <f t="shared" si="25"/>
        <v>8.598553367196754E-3</v>
      </c>
    </row>
    <row r="147" spans="2:16" x14ac:dyDescent="0.25">
      <c r="B147" t="str">
        <f>Levels!M147</f>
        <v>El Sub Sta 8</v>
      </c>
      <c r="C147" s="27">
        <f>ROUND(Levels!O147, 1)</f>
        <v>59</v>
      </c>
      <c r="D147" s="27">
        <f>ROUND(Levels!Q147, 1)</f>
        <v>59.6</v>
      </c>
      <c r="E147" s="27">
        <f>ROUND(Levels!P147, 1)</f>
        <v>58.7</v>
      </c>
      <c r="F147" s="27">
        <f>ROUND(Levels!R147,1)</f>
        <v>59.5</v>
      </c>
      <c r="G147" s="5">
        <f t="shared" si="26"/>
        <v>-0.3</v>
      </c>
      <c r="H147" s="26" t="str">
        <f t="shared" si="27"/>
        <v>-</v>
      </c>
      <c r="I147" s="5">
        <f t="shared" si="28"/>
        <v>0.6</v>
      </c>
      <c r="J147" s="5">
        <f t="shared" si="29"/>
        <v>0.5</v>
      </c>
      <c r="K147" s="5" t="str">
        <f t="shared" si="30"/>
        <v>Negligible</v>
      </c>
      <c r="L147" s="5">
        <f t="shared" si="31"/>
        <v>0.5</v>
      </c>
      <c r="M147" s="5">
        <f t="shared" si="32"/>
        <v>0.5</v>
      </c>
      <c r="N147" s="20" t="str">
        <f t="shared" si="33"/>
        <v>Negligible</v>
      </c>
      <c r="O147" s="30">
        <f t="shared" si="24"/>
        <v>7.7691931429524352E-3</v>
      </c>
      <c r="P147" s="30">
        <f t="shared" si="25"/>
        <v>6.4449344932281105E-3</v>
      </c>
    </row>
    <row r="148" spans="2:16" x14ac:dyDescent="0.25">
      <c r="B148" t="str">
        <f>Levels!M148</f>
        <v>El Sub Sta 9</v>
      </c>
      <c r="C148" s="27">
        <f>ROUND(Levels!O148, 1)</f>
        <v>59</v>
      </c>
      <c r="D148" s="27">
        <f>ROUND(Levels!Q148, 1)</f>
        <v>59.5</v>
      </c>
      <c r="E148" s="27">
        <f>ROUND(Levels!P148, 1)</f>
        <v>58.9</v>
      </c>
      <c r="F148" s="27">
        <f>ROUND(Levels!R148,1)</f>
        <v>59.6</v>
      </c>
      <c r="G148" s="5">
        <f t="shared" si="26"/>
        <v>-0.1</v>
      </c>
      <c r="H148" s="26" t="str">
        <f t="shared" si="27"/>
        <v>-</v>
      </c>
      <c r="I148" s="5">
        <f t="shared" si="28"/>
        <v>0.5</v>
      </c>
      <c r="J148" s="5">
        <f t="shared" si="29"/>
        <v>0.5</v>
      </c>
      <c r="K148" s="5" t="str">
        <f t="shared" si="30"/>
        <v>Negligible</v>
      </c>
      <c r="L148" s="5">
        <f t="shared" si="31"/>
        <v>0.6</v>
      </c>
      <c r="M148" s="5">
        <f t="shared" si="32"/>
        <v>0.5</v>
      </c>
      <c r="N148" s="20" t="str">
        <f t="shared" si="33"/>
        <v>Negligible</v>
      </c>
      <c r="O148" s="30">
        <f t="shared" si="24"/>
        <v>6.4449344932281105E-3</v>
      </c>
      <c r="P148" s="30">
        <f t="shared" si="25"/>
        <v>7.7691931429524352E-3</v>
      </c>
    </row>
    <row r="149" spans="2:16" x14ac:dyDescent="0.25">
      <c r="B149" t="str">
        <f>Levels!M149</f>
        <v>El Sub Sta 10</v>
      </c>
      <c r="C149" s="27">
        <f>ROUND(Levels!O149, 1)</f>
        <v>58.7</v>
      </c>
      <c r="D149" s="27">
        <f>ROUND(Levels!Q149, 1)</f>
        <v>59.2</v>
      </c>
      <c r="E149" s="27">
        <f>ROUND(Levels!P149, 1)</f>
        <v>58.6</v>
      </c>
      <c r="F149" s="27">
        <f>ROUND(Levels!R149,1)</f>
        <v>59.4</v>
      </c>
      <c r="G149" s="5">
        <f t="shared" si="26"/>
        <v>-0.1</v>
      </c>
      <c r="H149" s="26" t="str">
        <f t="shared" si="27"/>
        <v>-</v>
      </c>
      <c r="I149" s="5">
        <f t="shared" si="28"/>
        <v>0.5</v>
      </c>
      <c r="J149" s="5">
        <f t="shared" si="29"/>
        <v>0.5</v>
      </c>
      <c r="K149" s="5" t="str">
        <f t="shared" si="30"/>
        <v>Negligible</v>
      </c>
      <c r="L149" s="5">
        <f t="shared" si="31"/>
        <v>0.7</v>
      </c>
      <c r="M149" s="5">
        <f t="shared" si="32"/>
        <v>0.6</v>
      </c>
      <c r="N149" s="20" t="str">
        <f t="shared" si="33"/>
        <v>Negligible</v>
      </c>
      <c r="O149" s="30">
        <f t="shared" si="24"/>
        <v>6.2712213666562266E-3</v>
      </c>
      <c r="P149" s="30">
        <f t="shared" si="25"/>
        <v>8.8607771267802254E-3</v>
      </c>
    </row>
    <row r="150" spans="2:16" x14ac:dyDescent="0.25">
      <c r="B150" t="str">
        <f>Levels!M150</f>
        <v>El Sub Sta 11</v>
      </c>
      <c r="C150" s="27">
        <f>ROUND(Levels!O150, 1)</f>
        <v>58.3</v>
      </c>
      <c r="D150" s="27">
        <f>ROUND(Levels!Q150, 1)</f>
        <v>58.9</v>
      </c>
      <c r="E150" s="27">
        <f>ROUND(Levels!P150, 1)</f>
        <v>58.3</v>
      </c>
      <c r="F150" s="27">
        <f>ROUND(Levels!R150,1)</f>
        <v>59</v>
      </c>
      <c r="G150" s="5">
        <f t="shared" si="26"/>
        <v>0</v>
      </c>
      <c r="H150" s="26" t="str">
        <f t="shared" si="27"/>
        <v>No change</v>
      </c>
      <c r="I150" s="5">
        <f t="shared" si="28"/>
        <v>0.6</v>
      </c>
      <c r="J150" s="5">
        <f t="shared" si="29"/>
        <v>0.5</v>
      </c>
      <c r="K150" s="5" t="str">
        <f t="shared" si="30"/>
        <v>Negligible</v>
      </c>
      <c r="L150" s="5">
        <f t="shared" si="31"/>
        <v>0.7</v>
      </c>
      <c r="M150" s="5">
        <f t="shared" si="32"/>
        <v>0.6</v>
      </c>
      <c r="N150" s="20" t="str">
        <f t="shared" si="33"/>
        <v>Negligible</v>
      </c>
      <c r="O150" s="30">
        <f t="shared" si="24"/>
        <v>7.2870546035209982E-3</v>
      </c>
      <c r="P150" s="30">
        <f t="shared" si="25"/>
        <v>8.5412315353451534E-3</v>
      </c>
    </row>
    <row r="151" spans="2:16" x14ac:dyDescent="0.25">
      <c r="B151" t="str">
        <f>Levels!M151</f>
        <v>Greenlea 2</v>
      </c>
      <c r="C151" s="27">
        <f>ROUND(Levels!O151, 1)</f>
        <v>52.3</v>
      </c>
      <c r="D151" s="27">
        <f>ROUND(Levels!Q151, 1)</f>
        <v>52.8</v>
      </c>
      <c r="E151" s="27">
        <f>ROUND(Levels!P151, 1)</f>
        <v>52.1</v>
      </c>
      <c r="F151" s="27">
        <f>ROUND(Levels!R151,1)</f>
        <v>52.9</v>
      </c>
      <c r="G151" s="5">
        <f t="shared" si="26"/>
        <v>-0.2</v>
      </c>
      <c r="H151" s="26" t="str">
        <f t="shared" si="27"/>
        <v>-</v>
      </c>
      <c r="I151" s="5">
        <f t="shared" si="28"/>
        <v>0.5</v>
      </c>
      <c r="J151" s="5">
        <f t="shared" si="29"/>
        <v>0.5</v>
      </c>
      <c r="K151" s="5" t="str">
        <f t="shared" si="30"/>
        <v>Negligible</v>
      </c>
      <c r="L151" s="5">
        <f t="shared" si="31"/>
        <v>0.6</v>
      </c>
      <c r="M151" s="5">
        <f t="shared" si="32"/>
        <v>0.5</v>
      </c>
      <c r="N151" s="20" t="str">
        <f t="shared" si="33"/>
        <v>Negligible</v>
      </c>
      <c r="O151" s="30">
        <f t="shared" si="24"/>
        <v>3.3179976021063678E-3</v>
      </c>
      <c r="P151" s="30">
        <f t="shared" si="25"/>
        <v>4.0029028162507779E-3</v>
      </c>
    </row>
    <row r="152" spans="2:16" x14ac:dyDescent="0.25">
      <c r="B152" t="str">
        <f>Levels!M152</f>
        <v>Greenlea 3</v>
      </c>
      <c r="C152" s="27">
        <f>ROUND(Levels!O152, 1)</f>
        <v>52.4</v>
      </c>
      <c r="D152" s="27">
        <f>ROUND(Levels!Q152, 1)</f>
        <v>53</v>
      </c>
      <c r="E152" s="27">
        <f>ROUND(Levels!P152, 1)</f>
        <v>52.2</v>
      </c>
      <c r="F152" s="27">
        <f>ROUND(Levels!R152,1)</f>
        <v>53</v>
      </c>
      <c r="G152" s="5">
        <f t="shared" si="26"/>
        <v>-0.2</v>
      </c>
      <c r="H152" s="26" t="str">
        <f t="shared" si="27"/>
        <v>-</v>
      </c>
      <c r="I152" s="5">
        <f t="shared" si="28"/>
        <v>0.6</v>
      </c>
      <c r="J152" s="5">
        <f t="shared" si="29"/>
        <v>0.5</v>
      </c>
      <c r="K152" s="5" t="str">
        <f t="shared" si="30"/>
        <v>Negligible</v>
      </c>
      <c r="L152" s="5">
        <f t="shared" si="31"/>
        <v>0.6</v>
      </c>
      <c r="M152" s="5">
        <f t="shared" si="32"/>
        <v>0.5</v>
      </c>
      <c r="N152" s="20" t="str">
        <f t="shared" si="33"/>
        <v>Negligible</v>
      </c>
      <c r="O152" s="30">
        <f t="shared" si="24"/>
        <v>4.0454513601633629E-3</v>
      </c>
      <c r="P152" s="30">
        <f t="shared" si="25"/>
        <v>4.0454513601633629E-3</v>
      </c>
    </row>
    <row r="153" spans="2:16" x14ac:dyDescent="0.25">
      <c r="B153" t="str">
        <f>Levels!M153</f>
        <v>Greenlea 6</v>
      </c>
      <c r="C153" s="27">
        <f>ROUND(Levels!O153, 1)</f>
        <v>62.1</v>
      </c>
      <c r="D153" s="27">
        <f>ROUND(Levels!Q153, 1)</f>
        <v>62.7</v>
      </c>
      <c r="E153" s="27">
        <f>ROUND(Levels!P153, 1)</f>
        <v>62</v>
      </c>
      <c r="F153" s="27">
        <f>ROUND(Levels!R153,1)</f>
        <v>62.8</v>
      </c>
      <c r="G153" s="5">
        <f t="shared" si="26"/>
        <v>-0.1</v>
      </c>
      <c r="H153" s="26" t="str">
        <f t="shared" si="27"/>
        <v>-</v>
      </c>
      <c r="I153" s="5">
        <f t="shared" si="28"/>
        <v>0.6</v>
      </c>
      <c r="J153" s="5">
        <f t="shared" si="29"/>
        <v>0.5</v>
      </c>
      <c r="K153" s="5" t="str">
        <f t="shared" si="30"/>
        <v>Negligible</v>
      </c>
      <c r="L153" s="5">
        <f t="shared" si="31"/>
        <v>0.7</v>
      </c>
      <c r="M153" s="5">
        <f t="shared" si="32"/>
        <v>0.6</v>
      </c>
      <c r="N153" s="20" t="str">
        <f t="shared" si="33"/>
        <v>Negligible</v>
      </c>
      <c r="O153" s="30">
        <f t="shared" si="24"/>
        <v>1.0116845049135653E-2</v>
      </c>
      <c r="P153" s="30">
        <f t="shared" si="25"/>
        <v>1.1850019238866111E-2</v>
      </c>
    </row>
    <row r="154" spans="2:16" x14ac:dyDescent="0.25">
      <c r="B154" t="str">
        <f>Levels!M154</f>
        <v>Greenlea 7</v>
      </c>
      <c r="C154" s="27">
        <f>ROUND(Levels!O154, 1)</f>
        <v>52.5</v>
      </c>
      <c r="D154" s="27">
        <f>ROUND(Levels!Q154, 1)</f>
        <v>53.1</v>
      </c>
      <c r="E154" s="27">
        <f>ROUND(Levels!P154, 1)</f>
        <v>52.6</v>
      </c>
      <c r="F154" s="27">
        <f>ROUND(Levels!R154,1)</f>
        <v>53.3</v>
      </c>
      <c r="G154" s="5">
        <f t="shared" si="26"/>
        <v>0.1</v>
      </c>
      <c r="H154" s="26" t="str">
        <f t="shared" si="27"/>
        <v>Negligible</v>
      </c>
      <c r="I154" s="5">
        <f t="shared" si="28"/>
        <v>0.6</v>
      </c>
      <c r="J154" s="5">
        <f t="shared" si="29"/>
        <v>0.5</v>
      </c>
      <c r="K154" s="5" t="str">
        <f t="shared" si="30"/>
        <v>Negligible</v>
      </c>
      <c r="L154" s="5">
        <f t="shared" si="31"/>
        <v>0.8</v>
      </c>
      <c r="M154" s="5">
        <f t="shared" si="32"/>
        <v>0.7</v>
      </c>
      <c r="N154" s="20" t="str">
        <f t="shared" si="33"/>
        <v>Negligible</v>
      </c>
      <c r="O154" s="30">
        <f t="shared" si="24"/>
        <v>4.0883859930406496E-3</v>
      </c>
      <c r="P154" s="30">
        <f t="shared" si="25"/>
        <v>9.8224379670311612E-2</v>
      </c>
    </row>
    <row r="155" spans="2:16" x14ac:dyDescent="0.25">
      <c r="B155" t="str">
        <f>Levels!M155</f>
        <v>Greenlea 8</v>
      </c>
      <c r="C155" s="27">
        <f>ROUND(Levels!O155, 1)</f>
        <v>62.1</v>
      </c>
      <c r="D155" s="27">
        <f>ROUND(Levels!Q155, 1)</f>
        <v>62.7</v>
      </c>
      <c r="E155" s="27">
        <f>ROUND(Levels!P155, 1)</f>
        <v>62</v>
      </c>
      <c r="F155" s="27">
        <f>ROUND(Levels!R155,1)</f>
        <v>62.8</v>
      </c>
      <c r="G155" s="5">
        <f t="shared" si="26"/>
        <v>-0.1</v>
      </c>
      <c r="H155" s="26" t="str">
        <f t="shared" si="27"/>
        <v>-</v>
      </c>
      <c r="I155" s="5">
        <f t="shared" si="28"/>
        <v>0.6</v>
      </c>
      <c r="J155" s="5">
        <f t="shared" si="29"/>
        <v>0.5</v>
      </c>
      <c r="K155" s="5" t="str">
        <f t="shared" si="30"/>
        <v>Negligible</v>
      </c>
      <c r="L155" s="5">
        <f t="shared" si="31"/>
        <v>0.7</v>
      </c>
      <c r="M155" s="5">
        <f t="shared" si="32"/>
        <v>0.6</v>
      </c>
      <c r="N155" s="20" t="str">
        <f t="shared" si="33"/>
        <v>Negligible</v>
      </c>
      <c r="O155" s="30">
        <f t="shared" si="24"/>
        <v>1.0116845049135653E-2</v>
      </c>
      <c r="P155" s="30">
        <f t="shared" si="25"/>
        <v>1.1850019238866111E-2</v>
      </c>
    </row>
    <row r="156" spans="2:16" x14ac:dyDescent="0.25">
      <c r="B156" t="str">
        <f>Levels!M156</f>
        <v>Greenlea 9</v>
      </c>
      <c r="C156" s="27">
        <f>ROUND(Levels!O156, 1)</f>
        <v>61.8</v>
      </c>
      <c r="D156" s="27">
        <f>ROUND(Levels!Q156, 1)</f>
        <v>62.4</v>
      </c>
      <c r="E156" s="27">
        <f>ROUND(Levels!P156, 1)</f>
        <v>61.7</v>
      </c>
      <c r="F156" s="27">
        <f>ROUND(Levels!R156,1)</f>
        <v>62.4</v>
      </c>
      <c r="G156" s="5">
        <f t="shared" si="26"/>
        <v>-0.1</v>
      </c>
      <c r="H156" s="26" t="str">
        <f t="shared" si="27"/>
        <v>-</v>
      </c>
      <c r="I156" s="5">
        <f t="shared" si="28"/>
        <v>0.6</v>
      </c>
      <c r="J156" s="5">
        <f t="shared" si="29"/>
        <v>0.5</v>
      </c>
      <c r="K156" s="5" t="str">
        <f t="shared" si="30"/>
        <v>Negligible</v>
      </c>
      <c r="L156" s="5">
        <f t="shared" si="31"/>
        <v>0.6</v>
      </c>
      <c r="M156" s="5">
        <f t="shared" si="32"/>
        <v>0.5</v>
      </c>
      <c r="N156" s="20" t="str">
        <f t="shared" si="33"/>
        <v>Negligible</v>
      </c>
      <c r="O156" s="30">
        <f t="shared" si="24"/>
        <v>9.8769219556055776E-3</v>
      </c>
      <c r="P156" s="30">
        <f t="shared" si="25"/>
        <v>9.8769219556055776E-3</v>
      </c>
    </row>
    <row r="157" spans="2:16" x14ac:dyDescent="0.25">
      <c r="B157" t="str">
        <f>Levels!M157</f>
        <v>Greenlea 10</v>
      </c>
      <c r="C157" s="27">
        <f>ROUND(Levels!O157, 1)</f>
        <v>61.5</v>
      </c>
      <c r="D157" s="27">
        <f>ROUND(Levels!Q157, 1)</f>
        <v>62.1</v>
      </c>
      <c r="E157" s="27">
        <f>ROUND(Levels!P157, 1)</f>
        <v>61.4</v>
      </c>
      <c r="F157" s="27">
        <f>ROUND(Levels!R157,1)</f>
        <v>62.2</v>
      </c>
      <c r="G157" s="5">
        <f t="shared" si="26"/>
        <v>-0.1</v>
      </c>
      <c r="H157" s="26" t="str">
        <f t="shared" si="27"/>
        <v>-</v>
      </c>
      <c r="I157" s="5">
        <f t="shared" si="28"/>
        <v>0.6</v>
      </c>
      <c r="J157" s="5">
        <f t="shared" si="29"/>
        <v>0.5</v>
      </c>
      <c r="K157" s="5" t="str">
        <f t="shared" si="30"/>
        <v>Negligible</v>
      </c>
      <c r="L157" s="5">
        <f t="shared" si="31"/>
        <v>0.7</v>
      </c>
      <c r="M157" s="5">
        <f t="shared" si="32"/>
        <v>0.6</v>
      </c>
      <c r="N157" s="20" t="str">
        <f t="shared" si="33"/>
        <v>Negligible</v>
      </c>
      <c r="O157" s="30">
        <f t="shared" si="24"/>
        <v>9.6392603277177524E-3</v>
      </c>
      <c r="P157" s="30">
        <f t="shared" si="25"/>
        <v>1.1291993001894401E-2</v>
      </c>
    </row>
    <row r="158" spans="2:16" x14ac:dyDescent="0.25">
      <c r="B158" t="str">
        <f>Levels!M158</f>
        <v>The Paddock 5</v>
      </c>
      <c r="C158" s="27">
        <f>ROUND(Levels!O158, 1)</f>
        <v>59.7</v>
      </c>
      <c r="D158" s="27">
        <f>ROUND(Levels!Q158, 1)</f>
        <v>60.3</v>
      </c>
      <c r="E158" s="27">
        <f>ROUND(Levels!P158, 1)</f>
        <v>59.6</v>
      </c>
      <c r="F158" s="27">
        <f>ROUND(Levels!R158,1)</f>
        <v>60.4</v>
      </c>
      <c r="G158" s="5">
        <f t="shared" si="26"/>
        <v>-0.1</v>
      </c>
      <c r="H158" s="26" t="str">
        <f t="shared" si="27"/>
        <v>-</v>
      </c>
      <c r="I158" s="5">
        <f t="shared" si="28"/>
        <v>0.6</v>
      </c>
      <c r="J158" s="5">
        <f t="shared" si="29"/>
        <v>0.5</v>
      </c>
      <c r="K158" s="5" t="str">
        <f t="shared" si="30"/>
        <v>Negligible</v>
      </c>
      <c r="L158" s="5">
        <f t="shared" si="31"/>
        <v>0.7</v>
      </c>
      <c r="M158" s="5">
        <f t="shared" si="32"/>
        <v>0.6</v>
      </c>
      <c r="N158" s="20" t="str">
        <f t="shared" si="33"/>
        <v>Negligible</v>
      </c>
      <c r="O158" s="30">
        <f t="shared" si="24"/>
        <v>8.2706234410763191E-3</v>
      </c>
      <c r="P158" s="30">
        <f t="shared" si="25"/>
        <v>9.6919059762161364E-3</v>
      </c>
    </row>
    <row r="159" spans="2:16" x14ac:dyDescent="0.25">
      <c r="B159" t="str">
        <f>Levels!M159</f>
        <v>The Paddock 6</v>
      </c>
      <c r="C159" s="27">
        <f>ROUND(Levels!O159, 1)</f>
        <v>60.4</v>
      </c>
      <c r="D159" s="27">
        <f>ROUND(Levels!Q159, 1)</f>
        <v>61</v>
      </c>
      <c r="E159" s="27">
        <f>ROUND(Levels!P159, 1)</f>
        <v>60.3</v>
      </c>
      <c r="F159" s="27">
        <f>ROUND(Levels!R159,1)</f>
        <v>61.1</v>
      </c>
      <c r="G159" s="5">
        <f t="shared" si="26"/>
        <v>-0.1</v>
      </c>
      <c r="H159" s="26" t="str">
        <f t="shared" si="27"/>
        <v>-</v>
      </c>
      <c r="I159" s="5">
        <f t="shared" si="28"/>
        <v>0.6</v>
      </c>
      <c r="J159" s="5">
        <f t="shared" si="29"/>
        <v>0.5</v>
      </c>
      <c r="K159" s="5" t="str">
        <f t="shared" si="30"/>
        <v>Negligible</v>
      </c>
      <c r="L159" s="5">
        <f t="shared" si="31"/>
        <v>0.7</v>
      </c>
      <c r="M159" s="5">
        <f t="shared" si="32"/>
        <v>0.6</v>
      </c>
      <c r="N159" s="20" t="str">
        <f t="shared" si="33"/>
        <v>Negligible</v>
      </c>
      <c r="O159" s="30">
        <f t="shared" si="24"/>
        <v>8.7901511957643452E-3</v>
      </c>
      <c r="P159" s="30">
        <f t="shared" si="25"/>
        <v>1.0299445483454822E-2</v>
      </c>
    </row>
    <row r="160" spans="2:16" x14ac:dyDescent="0.25">
      <c r="B160" t="str">
        <f>Levels!M160</f>
        <v>The Paddock 7</v>
      </c>
      <c r="C160" s="27">
        <f>ROUND(Levels!O160, 1)</f>
        <v>60.8</v>
      </c>
      <c r="D160" s="27">
        <f>ROUND(Levels!Q160, 1)</f>
        <v>61.4</v>
      </c>
      <c r="E160" s="27">
        <f>ROUND(Levels!P160, 1)</f>
        <v>60.8</v>
      </c>
      <c r="F160" s="27">
        <f>ROUND(Levels!R160,1)</f>
        <v>61.5</v>
      </c>
      <c r="G160" s="5">
        <f t="shared" si="26"/>
        <v>0</v>
      </c>
      <c r="H160" s="26" t="str">
        <f t="shared" si="27"/>
        <v>No change</v>
      </c>
      <c r="I160" s="5">
        <f t="shared" si="28"/>
        <v>0.6</v>
      </c>
      <c r="J160" s="5">
        <f t="shared" si="29"/>
        <v>0.5</v>
      </c>
      <c r="K160" s="5" t="str">
        <f t="shared" si="30"/>
        <v>Negligible</v>
      </c>
      <c r="L160" s="5">
        <f t="shared" si="31"/>
        <v>0.7</v>
      </c>
      <c r="M160" s="5">
        <f t="shared" si="32"/>
        <v>0.6</v>
      </c>
      <c r="N160" s="20" t="str">
        <f t="shared" si="33"/>
        <v>Negligible</v>
      </c>
      <c r="O160" s="30">
        <f t="shared" si="24"/>
        <v>9.0945689557102583E-3</v>
      </c>
      <c r="P160" s="30">
        <f t="shared" si="25"/>
        <v>1.0655347551386724E-2</v>
      </c>
    </row>
    <row r="161" spans="2:16" x14ac:dyDescent="0.25">
      <c r="B161" t="str">
        <f>Levels!M161</f>
        <v>The Paddock 8</v>
      </c>
      <c r="C161" s="27">
        <f>ROUND(Levels!O161, 1)</f>
        <v>61.2</v>
      </c>
      <c r="D161" s="27">
        <f>ROUND(Levels!Q161, 1)</f>
        <v>61.7</v>
      </c>
      <c r="E161" s="27">
        <f>ROUND(Levels!P161, 1)</f>
        <v>61.1</v>
      </c>
      <c r="F161" s="27">
        <f>ROUND(Levels!R161,1)</f>
        <v>61.9</v>
      </c>
      <c r="G161" s="5">
        <f t="shared" si="26"/>
        <v>-0.1</v>
      </c>
      <c r="H161" s="26" t="str">
        <f t="shared" si="27"/>
        <v>-</v>
      </c>
      <c r="I161" s="5">
        <f t="shared" si="28"/>
        <v>0.5</v>
      </c>
      <c r="J161" s="5">
        <f t="shared" si="29"/>
        <v>0.5</v>
      </c>
      <c r="K161" s="5" t="str">
        <f t="shared" si="30"/>
        <v>Negligible</v>
      </c>
      <c r="L161" s="5">
        <f t="shared" si="31"/>
        <v>0.7</v>
      </c>
      <c r="M161" s="5">
        <f t="shared" si="32"/>
        <v>0.6</v>
      </c>
      <c r="N161" s="20" t="str">
        <f t="shared" si="33"/>
        <v>Negligible</v>
      </c>
      <c r="O161" s="30">
        <f t="shared" si="24"/>
        <v>7.8041397232107568E-3</v>
      </c>
      <c r="P161" s="30">
        <f t="shared" si="25"/>
        <v>1.1017105157478113E-2</v>
      </c>
    </row>
    <row r="162" spans="2:16" x14ac:dyDescent="0.25">
      <c r="B162" t="str">
        <f>Levels!M162</f>
        <v>Martindale Close 2</v>
      </c>
      <c r="C162" s="27">
        <f>ROUND(Levels!O162, 1)</f>
        <v>59.2</v>
      </c>
      <c r="D162" s="27">
        <f>ROUND(Levels!Q162, 1)</f>
        <v>59.8</v>
      </c>
      <c r="E162" s="27">
        <f>ROUND(Levels!P162, 1)</f>
        <v>59</v>
      </c>
      <c r="F162" s="27">
        <f>ROUND(Levels!R162,1)</f>
        <v>59.8</v>
      </c>
      <c r="G162" s="5">
        <f t="shared" si="26"/>
        <v>-0.2</v>
      </c>
      <c r="H162" s="26" t="str">
        <f t="shared" si="27"/>
        <v>-</v>
      </c>
      <c r="I162" s="5">
        <f t="shared" si="28"/>
        <v>0.6</v>
      </c>
      <c r="J162" s="5">
        <f t="shared" si="29"/>
        <v>0.5</v>
      </c>
      <c r="K162" s="5" t="str">
        <f t="shared" si="30"/>
        <v>Negligible</v>
      </c>
      <c r="L162" s="5">
        <f t="shared" si="31"/>
        <v>0.6</v>
      </c>
      <c r="M162" s="5">
        <f t="shared" si="32"/>
        <v>0.5</v>
      </c>
      <c r="N162" s="20" t="str">
        <f t="shared" si="33"/>
        <v>Negligible</v>
      </c>
      <c r="O162" s="30">
        <f t="shared" si="24"/>
        <v>7.9105362756615866E-3</v>
      </c>
      <c r="P162" s="30">
        <f t="shared" si="25"/>
        <v>7.9105362756615866E-3</v>
      </c>
    </row>
    <row r="163" spans="2:16" x14ac:dyDescent="0.25">
      <c r="B163" t="str">
        <f>Levels!M163</f>
        <v>Martindale Close 3</v>
      </c>
      <c r="C163" s="27">
        <f>ROUND(Levels!O163, 1)</f>
        <v>59.1</v>
      </c>
      <c r="D163" s="27">
        <f>ROUND(Levels!Q163, 1)</f>
        <v>59.7</v>
      </c>
      <c r="E163" s="27">
        <f>ROUND(Levels!P163, 1)</f>
        <v>58.9</v>
      </c>
      <c r="F163" s="27">
        <f>ROUND(Levels!R163,1)</f>
        <v>59.7</v>
      </c>
      <c r="G163" s="5">
        <f t="shared" si="26"/>
        <v>-0.2</v>
      </c>
      <c r="H163" s="26" t="str">
        <f t="shared" si="27"/>
        <v>-</v>
      </c>
      <c r="I163" s="5">
        <f t="shared" si="28"/>
        <v>0.6</v>
      </c>
      <c r="J163" s="5">
        <f t="shared" si="29"/>
        <v>0.5</v>
      </c>
      <c r="K163" s="5" t="str">
        <f t="shared" si="30"/>
        <v>Negligible</v>
      </c>
      <c r="L163" s="5">
        <f t="shared" si="31"/>
        <v>0.6</v>
      </c>
      <c r="M163" s="5">
        <f t="shared" si="32"/>
        <v>0.5</v>
      </c>
      <c r="N163" s="20" t="str">
        <f t="shared" si="33"/>
        <v>Negligible</v>
      </c>
      <c r="O163" s="30">
        <f t="shared" si="24"/>
        <v>7.8396691112239264E-3</v>
      </c>
      <c r="P163" s="30">
        <f t="shared" si="25"/>
        <v>7.8396691112239264E-3</v>
      </c>
    </row>
    <row r="164" spans="2:16" x14ac:dyDescent="0.25">
      <c r="B164" t="str">
        <f>Levels!M164</f>
        <v>Martindale Close 6</v>
      </c>
      <c r="C164" s="27">
        <f>ROUND(Levels!O164, 1)</f>
        <v>60.6</v>
      </c>
      <c r="D164" s="27">
        <f>ROUND(Levels!Q164, 1)</f>
        <v>61.1</v>
      </c>
      <c r="E164" s="27">
        <f>ROUND(Levels!P164, 1)</f>
        <v>60.7</v>
      </c>
      <c r="F164" s="27">
        <f>ROUND(Levels!R164,1)</f>
        <v>61.4</v>
      </c>
      <c r="G164" s="5">
        <f t="shared" si="26"/>
        <v>0.1</v>
      </c>
      <c r="H164" s="26" t="str">
        <f t="shared" si="27"/>
        <v>Negligible</v>
      </c>
      <c r="I164" s="5">
        <f t="shared" si="28"/>
        <v>0.5</v>
      </c>
      <c r="J164" s="5">
        <f t="shared" si="29"/>
        <v>0.5</v>
      </c>
      <c r="K164" s="5" t="str">
        <f t="shared" si="30"/>
        <v>Negligible</v>
      </c>
      <c r="L164" s="5">
        <f t="shared" si="31"/>
        <v>0.8</v>
      </c>
      <c r="M164" s="5">
        <f t="shared" si="32"/>
        <v>0.7</v>
      </c>
      <c r="N164" s="20" t="str">
        <f t="shared" si="33"/>
        <v>Negligible</v>
      </c>
      <c r="O164" s="30">
        <f t="shared" ref="O164:O190" si="34">NuisanceByL10(D164) - NuisanceByL10(C164)</f>
        <v>7.4196164954971056E-3</v>
      </c>
      <c r="P164" s="30">
        <f t="shared" ref="P164:P190" si="35">MAX(NuisanceByL10(F164)-NuisanceByL10(C164), NuisanceChangeByL10Change(G164))</f>
        <v>9.8224379670311612E-2</v>
      </c>
    </row>
    <row r="165" spans="2:16" x14ac:dyDescent="0.25">
      <c r="B165" t="str">
        <f>Levels!M165</f>
        <v>Martindale Close 7</v>
      </c>
      <c r="C165" s="27">
        <f>ROUND(Levels!O165, 1)</f>
        <v>60.4</v>
      </c>
      <c r="D165" s="27">
        <f>ROUND(Levels!Q165, 1)</f>
        <v>60.9</v>
      </c>
      <c r="E165" s="27">
        <f>ROUND(Levels!P165, 1)</f>
        <v>60.5</v>
      </c>
      <c r="F165" s="27">
        <f>ROUND(Levels!R165,1)</f>
        <v>61.2</v>
      </c>
      <c r="G165" s="5">
        <f t="shared" si="26"/>
        <v>0.1</v>
      </c>
      <c r="H165" s="26" t="str">
        <f t="shared" si="27"/>
        <v>Negligible</v>
      </c>
      <c r="I165" s="5">
        <f t="shared" si="28"/>
        <v>0.5</v>
      </c>
      <c r="J165" s="5">
        <f t="shared" si="29"/>
        <v>0.5</v>
      </c>
      <c r="K165" s="5" t="str">
        <f t="shared" si="30"/>
        <v>Negligible</v>
      </c>
      <c r="L165" s="5">
        <f t="shared" si="31"/>
        <v>0.8</v>
      </c>
      <c r="M165" s="5">
        <f t="shared" si="32"/>
        <v>0.7</v>
      </c>
      <c r="N165" s="20" t="str">
        <f t="shared" si="33"/>
        <v>Negligible</v>
      </c>
      <c r="O165" s="30">
        <f t="shared" si="34"/>
        <v>7.2935970914617398E-3</v>
      </c>
      <c r="P165" s="30">
        <f t="shared" si="35"/>
        <v>9.8224379670311612E-2</v>
      </c>
    </row>
    <row r="166" spans="2:16" x14ac:dyDescent="0.25">
      <c r="B166" t="str">
        <f>Levels!M166</f>
        <v>Manor Close 1</v>
      </c>
      <c r="C166" s="27">
        <f>ROUND(Levels!O166, 1)</f>
        <v>58</v>
      </c>
      <c r="D166" s="27">
        <f>ROUND(Levels!Q166, 1)</f>
        <v>58.6</v>
      </c>
      <c r="E166" s="27">
        <f>ROUND(Levels!P166, 1)</f>
        <v>58</v>
      </c>
      <c r="F166" s="27">
        <f>ROUND(Levels!R166,1)</f>
        <v>58.8</v>
      </c>
      <c r="G166" s="5">
        <f t="shared" si="26"/>
        <v>0</v>
      </c>
      <c r="H166" s="26" t="str">
        <f t="shared" si="27"/>
        <v>No change</v>
      </c>
      <c r="I166" s="5">
        <f t="shared" si="28"/>
        <v>0.6</v>
      </c>
      <c r="J166" s="5">
        <f t="shared" si="29"/>
        <v>0.5</v>
      </c>
      <c r="K166" s="5" t="str">
        <f t="shared" si="30"/>
        <v>Negligible</v>
      </c>
      <c r="L166" s="5">
        <f t="shared" si="31"/>
        <v>0.8</v>
      </c>
      <c r="M166" s="5">
        <f t="shared" si="32"/>
        <v>0.7</v>
      </c>
      <c r="N166" s="20" t="str">
        <f t="shared" si="33"/>
        <v>Negligible</v>
      </c>
      <c r="O166" s="30">
        <f t="shared" si="34"/>
        <v>7.0865557089433151E-3</v>
      </c>
      <c r="P166" s="30">
        <f t="shared" si="35"/>
        <v>9.5379448903810948E-3</v>
      </c>
    </row>
    <row r="167" spans="2:16" x14ac:dyDescent="0.25">
      <c r="B167" t="str">
        <f>Levels!M167</f>
        <v>Manor Close 2</v>
      </c>
      <c r="C167" s="27">
        <f>ROUND(Levels!O167, 1)</f>
        <v>58.6</v>
      </c>
      <c r="D167" s="27">
        <f>ROUND(Levels!Q167, 1)</f>
        <v>59.2</v>
      </c>
      <c r="E167" s="27">
        <f>ROUND(Levels!P167, 1)</f>
        <v>58.6</v>
      </c>
      <c r="F167" s="27">
        <f>ROUND(Levels!R167,1)</f>
        <v>59.4</v>
      </c>
      <c r="G167" s="5">
        <f t="shared" si="26"/>
        <v>0</v>
      </c>
      <c r="H167" s="26" t="str">
        <f t="shared" si="27"/>
        <v>No change</v>
      </c>
      <c r="I167" s="5">
        <f t="shared" si="28"/>
        <v>0.6</v>
      </c>
      <c r="J167" s="5">
        <f t="shared" si="29"/>
        <v>0.5</v>
      </c>
      <c r="K167" s="5" t="str">
        <f t="shared" si="30"/>
        <v>Negligible</v>
      </c>
      <c r="L167" s="5">
        <f t="shared" si="31"/>
        <v>0.8</v>
      </c>
      <c r="M167" s="5">
        <f t="shared" si="32"/>
        <v>0.7</v>
      </c>
      <c r="N167" s="20" t="str">
        <f t="shared" si="33"/>
        <v>Negligible</v>
      </c>
      <c r="O167" s="30">
        <f t="shared" si="34"/>
        <v>7.4912602977675047E-3</v>
      </c>
      <c r="P167" s="30">
        <f t="shared" si="35"/>
        <v>1.0080816057891503E-2</v>
      </c>
    </row>
    <row r="168" spans="2:16" x14ac:dyDescent="0.25">
      <c r="B168" t="str">
        <f>Levels!M168</f>
        <v>Manor Close 3</v>
      </c>
      <c r="C168" s="27">
        <f>ROUND(Levels!O168, 1)</f>
        <v>59.1</v>
      </c>
      <c r="D168" s="27">
        <f>ROUND(Levels!Q168, 1)</f>
        <v>59.6</v>
      </c>
      <c r="E168" s="27">
        <f>ROUND(Levels!P168, 1)</f>
        <v>59</v>
      </c>
      <c r="F168" s="27">
        <f>ROUND(Levels!R168,1)</f>
        <v>59.8</v>
      </c>
      <c r="G168" s="5">
        <f t="shared" si="26"/>
        <v>-0.1</v>
      </c>
      <c r="H168" s="26" t="str">
        <f t="shared" si="27"/>
        <v>-</v>
      </c>
      <c r="I168" s="5">
        <f t="shared" si="28"/>
        <v>0.5</v>
      </c>
      <c r="J168" s="5">
        <f t="shared" si="29"/>
        <v>0.5</v>
      </c>
      <c r="K168" s="5" t="str">
        <f t="shared" si="30"/>
        <v>Negligible</v>
      </c>
      <c r="L168" s="5">
        <f t="shared" si="31"/>
        <v>0.7</v>
      </c>
      <c r="M168" s="5">
        <f t="shared" si="32"/>
        <v>0.6</v>
      </c>
      <c r="N168" s="20" t="str">
        <f t="shared" si="33"/>
        <v>Negligible</v>
      </c>
      <c r="O168" s="30">
        <f t="shared" si="34"/>
        <v>6.5035016468919932E-3</v>
      </c>
      <c r="P168" s="30">
        <f t="shared" si="35"/>
        <v>9.1878092507226145E-3</v>
      </c>
    </row>
    <row r="169" spans="2:16" x14ac:dyDescent="0.25">
      <c r="B169" t="str">
        <f>Levels!M169</f>
        <v>Manor Close 4</v>
      </c>
      <c r="C169" s="27">
        <f>ROUND(Levels!O169, 1)</f>
        <v>57.6</v>
      </c>
      <c r="D169" s="27">
        <f>ROUND(Levels!Q169, 1)</f>
        <v>58.2</v>
      </c>
      <c r="E169" s="27">
        <f>ROUND(Levels!P169, 1)</f>
        <v>57.6</v>
      </c>
      <c r="F169" s="27">
        <f>ROUND(Levels!R169,1)</f>
        <v>58.3</v>
      </c>
      <c r="G169" s="5">
        <f t="shared" si="26"/>
        <v>0</v>
      </c>
      <c r="H169" s="26" t="str">
        <f t="shared" si="27"/>
        <v>No change</v>
      </c>
      <c r="I169" s="5">
        <f t="shared" si="28"/>
        <v>0.6</v>
      </c>
      <c r="J169" s="5">
        <f t="shared" si="29"/>
        <v>0.5</v>
      </c>
      <c r="K169" s="5" t="str">
        <f t="shared" si="30"/>
        <v>Negligible</v>
      </c>
      <c r="L169" s="5">
        <f t="shared" si="31"/>
        <v>0.7</v>
      </c>
      <c r="M169" s="5">
        <f t="shared" si="32"/>
        <v>0.6</v>
      </c>
      <c r="N169" s="20" t="str">
        <f t="shared" si="33"/>
        <v>Negligible</v>
      </c>
      <c r="O169" s="30">
        <f t="shared" si="34"/>
        <v>6.8250776156809495E-3</v>
      </c>
      <c r="P169" s="30">
        <f t="shared" si="35"/>
        <v>8.0005597561206149E-3</v>
      </c>
    </row>
    <row r="170" spans="2:16" x14ac:dyDescent="0.25">
      <c r="B170" t="str">
        <f>Levels!M170</f>
        <v>Manor Close 5</v>
      </c>
      <c r="C170" s="27">
        <f>ROUND(Levels!O170, 1)</f>
        <v>51.4</v>
      </c>
      <c r="D170" s="27">
        <f>ROUND(Levels!Q170, 1)</f>
        <v>52.1</v>
      </c>
      <c r="E170" s="27">
        <f>ROUND(Levels!P170, 1)</f>
        <v>50.5</v>
      </c>
      <c r="F170" s="27">
        <f>ROUND(Levels!R170,1)</f>
        <v>51.3</v>
      </c>
      <c r="G170" s="5">
        <f t="shared" si="26"/>
        <v>-0.9</v>
      </c>
      <c r="H170" s="26" t="str">
        <f t="shared" si="27"/>
        <v>-</v>
      </c>
      <c r="I170" s="5">
        <f t="shared" si="28"/>
        <v>0.7</v>
      </c>
      <c r="J170" s="5">
        <f t="shared" si="29"/>
        <v>0.6</v>
      </c>
      <c r="K170" s="5" t="str">
        <f t="shared" si="30"/>
        <v>Negligible</v>
      </c>
      <c r="L170" s="5">
        <f t="shared" si="31"/>
        <v>-0.1</v>
      </c>
      <c r="M170" s="5">
        <f t="shared" si="32"/>
        <v>-0.1</v>
      </c>
      <c r="N170" s="20" t="str">
        <f t="shared" si="33"/>
        <v>-</v>
      </c>
      <c r="O170" s="30">
        <f t="shared" si="34"/>
        <v>4.2661916473447012E-3</v>
      </c>
      <c r="P170" s="30">
        <f t="shared" si="35"/>
        <v>-5.8370879675248566E-4</v>
      </c>
    </row>
    <row r="171" spans="2:16" x14ac:dyDescent="0.25">
      <c r="B171" t="str">
        <f>Levels!M171</f>
        <v>Manor Close 6</v>
      </c>
      <c r="C171" s="27">
        <f>ROUND(Levels!O171, 1)</f>
        <v>51</v>
      </c>
      <c r="D171" s="27">
        <f>ROUND(Levels!Q171, 1)</f>
        <v>51.8</v>
      </c>
      <c r="E171" s="27">
        <f>ROUND(Levels!P171, 1)</f>
        <v>50.1</v>
      </c>
      <c r="F171" s="27">
        <f>ROUND(Levels!R171,1)</f>
        <v>51</v>
      </c>
      <c r="G171" s="5">
        <f t="shared" si="26"/>
        <v>-0.9</v>
      </c>
      <c r="H171" s="26" t="str">
        <f t="shared" si="27"/>
        <v>-</v>
      </c>
      <c r="I171" s="5">
        <f t="shared" si="28"/>
        <v>0.8</v>
      </c>
      <c r="J171" s="5">
        <f t="shared" si="29"/>
        <v>0.7</v>
      </c>
      <c r="K171" s="5" t="str">
        <f t="shared" si="30"/>
        <v>Negligible</v>
      </c>
      <c r="L171" s="5">
        <f t="shared" si="31"/>
        <v>0</v>
      </c>
      <c r="M171" s="5">
        <f t="shared" si="32"/>
        <v>0</v>
      </c>
      <c r="N171" s="20" t="str">
        <f t="shared" si="33"/>
        <v>No change</v>
      </c>
      <c r="O171" s="30">
        <f t="shared" si="34"/>
        <v>4.6961288024189862E-3</v>
      </c>
      <c r="P171" s="30">
        <f t="shared" si="35"/>
        <v>0</v>
      </c>
    </row>
    <row r="172" spans="2:16" x14ac:dyDescent="0.25">
      <c r="B172" t="str">
        <f>Levels!M172</f>
        <v>Manor Close 8</v>
      </c>
      <c r="C172" s="27">
        <f>ROUND(Levels!O172, 1)</f>
        <v>50.4</v>
      </c>
      <c r="D172" s="27">
        <f>ROUND(Levels!Q172, 1)</f>
        <v>51.1</v>
      </c>
      <c r="E172" s="27">
        <f>ROUND(Levels!P172, 1)</f>
        <v>49.4</v>
      </c>
      <c r="F172" s="27">
        <f>ROUND(Levels!R172,1)</f>
        <v>50.3</v>
      </c>
      <c r="G172" s="5">
        <f t="shared" si="26"/>
        <v>-1</v>
      </c>
      <c r="H172" s="26" t="str">
        <f t="shared" si="27"/>
        <v>-</v>
      </c>
      <c r="I172" s="5">
        <f t="shared" si="28"/>
        <v>0.7</v>
      </c>
      <c r="J172" s="5">
        <f t="shared" si="29"/>
        <v>0.6</v>
      </c>
      <c r="K172" s="5" t="str">
        <f t="shared" si="30"/>
        <v>Negligible</v>
      </c>
      <c r="L172" s="5">
        <f t="shared" si="31"/>
        <v>-0.1</v>
      </c>
      <c r="M172" s="5">
        <f t="shared" si="32"/>
        <v>-0.1</v>
      </c>
      <c r="N172" s="20" t="str">
        <f t="shared" si="33"/>
        <v>-</v>
      </c>
      <c r="O172" s="30">
        <f t="shared" si="34"/>
        <v>3.8301447843108946E-3</v>
      </c>
      <c r="P172" s="30">
        <f t="shared" si="35"/>
        <v>-5.2375893347431784E-4</v>
      </c>
    </row>
    <row r="173" spans="2:16" x14ac:dyDescent="0.25">
      <c r="B173" t="str">
        <f>Levels!M173</f>
        <v>Manor Close 9</v>
      </c>
      <c r="C173" s="27">
        <f>ROUND(Levels!O173, 1)</f>
        <v>51.4</v>
      </c>
      <c r="D173" s="27">
        <f>ROUND(Levels!Q173, 1)</f>
        <v>52.2</v>
      </c>
      <c r="E173" s="27">
        <f>ROUND(Levels!P173, 1)</f>
        <v>50.5</v>
      </c>
      <c r="F173" s="27">
        <f>ROUND(Levels!R173,1)</f>
        <v>51.3</v>
      </c>
      <c r="G173" s="5">
        <f t="shared" si="26"/>
        <v>-0.9</v>
      </c>
      <c r="H173" s="26" t="str">
        <f t="shared" si="27"/>
        <v>-</v>
      </c>
      <c r="I173" s="5">
        <f t="shared" si="28"/>
        <v>0.8</v>
      </c>
      <c r="J173" s="5">
        <f t="shared" si="29"/>
        <v>0.7</v>
      </c>
      <c r="K173" s="5" t="str">
        <f t="shared" si="30"/>
        <v>Negligible</v>
      </c>
      <c r="L173" s="5">
        <f t="shared" si="31"/>
        <v>-0.1</v>
      </c>
      <c r="M173" s="5">
        <f t="shared" si="32"/>
        <v>-0.1</v>
      </c>
      <c r="N173" s="20" t="str">
        <f t="shared" si="33"/>
        <v>-</v>
      </c>
      <c r="O173" s="30">
        <f t="shared" si="34"/>
        <v>4.9021268317127262E-3</v>
      </c>
      <c r="P173" s="30">
        <f t="shared" si="35"/>
        <v>-5.8370879675248566E-4</v>
      </c>
    </row>
    <row r="174" spans="2:16" x14ac:dyDescent="0.25">
      <c r="B174" t="str">
        <f>Levels!M174</f>
        <v>Manor Close 10</v>
      </c>
      <c r="C174" s="27">
        <f>ROUND(Levels!O174, 1)</f>
        <v>51.2</v>
      </c>
      <c r="D174" s="27">
        <f>ROUND(Levels!Q174, 1)</f>
        <v>51.9</v>
      </c>
      <c r="E174" s="27">
        <f>ROUND(Levels!P174, 1)</f>
        <v>50.1</v>
      </c>
      <c r="F174" s="27">
        <f>ROUND(Levels!R174,1)</f>
        <v>50.9</v>
      </c>
      <c r="G174" s="5">
        <f t="shared" si="26"/>
        <v>-1.1000000000000001</v>
      </c>
      <c r="H174" s="26" t="str">
        <f t="shared" si="27"/>
        <v>-</v>
      </c>
      <c r="I174" s="5">
        <f t="shared" si="28"/>
        <v>0.7</v>
      </c>
      <c r="J174" s="5">
        <f t="shared" si="29"/>
        <v>0.6</v>
      </c>
      <c r="K174" s="5" t="str">
        <f t="shared" si="30"/>
        <v>Negligible</v>
      </c>
      <c r="L174" s="5">
        <f t="shared" si="31"/>
        <v>-0.3</v>
      </c>
      <c r="M174" s="5">
        <f t="shared" si="32"/>
        <v>-0.3</v>
      </c>
      <c r="N174" s="20" t="str">
        <f t="shared" si="33"/>
        <v>-</v>
      </c>
      <c r="O174" s="30">
        <f t="shared" si="34"/>
        <v>4.1756495371774519E-3</v>
      </c>
      <c r="P174" s="30">
        <f t="shared" si="35"/>
        <v>-1.6954070561488038E-3</v>
      </c>
    </row>
    <row r="175" spans="2:16" x14ac:dyDescent="0.25">
      <c r="B175" t="str">
        <f>Levels!M175</f>
        <v>Manor Close 11</v>
      </c>
      <c r="C175" s="27">
        <f>ROUND(Levels!O175, 1)</f>
        <v>60.3</v>
      </c>
      <c r="D175" s="27">
        <f>ROUND(Levels!Q175, 1)</f>
        <v>60.8</v>
      </c>
      <c r="E175" s="27">
        <f>ROUND(Levels!P175, 1)</f>
        <v>60</v>
      </c>
      <c r="F175" s="27">
        <f>ROUND(Levels!R175,1)</f>
        <v>60.8</v>
      </c>
      <c r="G175" s="5">
        <f t="shared" si="26"/>
        <v>-0.3</v>
      </c>
      <c r="H175" s="26" t="str">
        <f t="shared" si="27"/>
        <v>-</v>
      </c>
      <c r="I175" s="5">
        <f t="shared" si="28"/>
        <v>0.5</v>
      </c>
      <c r="J175" s="5">
        <f t="shared" si="29"/>
        <v>0.5</v>
      </c>
      <c r="K175" s="5" t="str">
        <f t="shared" si="30"/>
        <v>Negligible</v>
      </c>
      <c r="L175" s="5">
        <f t="shared" si="31"/>
        <v>0.5</v>
      </c>
      <c r="M175" s="5">
        <f t="shared" si="32"/>
        <v>0.5</v>
      </c>
      <c r="N175" s="20" t="str">
        <f t="shared" si="33"/>
        <v>Negligible</v>
      </c>
      <c r="O175" s="30">
        <f t="shared" si="34"/>
        <v>7.2310114616697396E-3</v>
      </c>
      <c r="P175" s="30">
        <f t="shared" si="35"/>
        <v>7.2310114616697396E-3</v>
      </c>
    </row>
    <row r="176" spans="2:16" x14ac:dyDescent="0.25">
      <c r="B176" t="str">
        <f>Levels!M176</f>
        <v>Manor Close 12</v>
      </c>
      <c r="C176" s="27">
        <f>ROUND(Levels!O176, 1)</f>
        <v>60.6</v>
      </c>
      <c r="D176" s="27">
        <f>ROUND(Levels!Q176, 1)</f>
        <v>61.1</v>
      </c>
      <c r="E176" s="27">
        <f>ROUND(Levels!P176, 1)</f>
        <v>60.3</v>
      </c>
      <c r="F176" s="27">
        <f>ROUND(Levels!R176,1)</f>
        <v>61</v>
      </c>
      <c r="G176" s="5">
        <f t="shared" si="26"/>
        <v>-0.3</v>
      </c>
      <c r="H176" s="26" t="str">
        <f t="shared" si="27"/>
        <v>-</v>
      </c>
      <c r="I176" s="5">
        <f t="shared" si="28"/>
        <v>0.5</v>
      </c>
      <c r="J176" s="5">
        <f t="shared" si="29"/>
        <v>0.5</v>
      </c>
      <c r="K176" s="5" t="str">
        <f t="shared" si="30"/>
        <v>Negligible</v>
      </c>
      <c r="L176" s="5">
        <f t="shared" si="31"/>
        <v>0.4</v>
      </c>
      <c r="M176" s="5">
        <f t="shared" si="32"/>
        <v>0.4</v>
      </c>
      <c r="N176" s="20" t="str">
        <f t="shared" si="33"/>
        <v>Negligible</v>
      </c>
      <c r="O176" s="30">
        <f t="shared" si="34"/>
        <v>7.4196164954971056E-3</v>
      </c>
      <c r="P176" s="30">
        <f t="shared" si="35"/>
        <v>5.9103222078066286E-3</v>
      </c>
    </row>
    <row r="177" spans="2:16" x14ac:dyDescent="0.25">
      <c r="B177" t="str">
        <f>Levels!M177</f>
        <v>Manor Close 15</v>
      </c>
      <c r="C177" s="27">
        <f>ROUND(Levels!O177, 1)</f>
        <v>61</v>
      </c>
      <c r="D177" s="27">
        <f>ROUND(Levels!Q177, 1)</f>
        <v>61.5</v>
      </c>
      <c r="E177" s="27">
        <f>ROUND(Levels!P177, 1)</f>
        <v>60.7</v>
      </c>
      <c r="F177" s="27">
        <f>ROUND(Levels!R177,1)</f>
        <v>61.5</v>
      </c>
      <c r="G177" s="5">
        <f t="shared" si="26"/>
        <v>-0.3</v>
      </c>
      <c r="H177" s="26" t="str">
        <f t="shared" si="27"/>
        <v>-</v>
      </c>
      <c r="I177" s="5">
        <f t="shared" si="28"/>
        <v>0.5</v>
      </c>
      <c r="J177" s="5">
        <f t="shared" si="29"/>
        <v>0.5</v>
      </c>
      <c r="K177" s="5" t="str">
        <f t="shared" si="30"/>
        <v>Negligible</v>
      </c>
      <c r="L177" s="5">
        <f t="shared" si="31"/>
        <v>0.5</v>
      </c>
      <c r="M177" s="5">
        <f t="shared" si="32"/>
        <v>0.5</v>
      </c>
      <c r="N177" s="20" t="str">
        <f t="shared" si="33"/>
        <v>Negligible</v>
      </c>
      <c r="O177" s="30">
        <f t="shared" si="34"/>
        <v>7.6749252821523006E-3</v>
      </c>
      <c r="P177" s="30">
        <f t="shared" si="35"/>
        <v>7.6749252821523006E-3</v>
      </c>
    </row>
    <row r="178" spans="2:16" x14ac:dyDescent="0.25">
      <c r="B178" t="str">
        <f>Levels!M178</f>
        <v>Manor Close 16</v>
      </c>
      <c r="C178" s="27">
        <f>ROUND(Levels!O178, 1)</f>
        <v>60</v>
      </c>
      <c r="D178" s="27">
        <f>ROUND(Levels!Q178, 1)</f>
        <v>60.4</v>
      </c>
      <c r="E178" s="27">
        <f>ROUND(Levels!P178, 1)</f>
        <v>59.7</v>
      </c>
      <c r="F178" s="27">
        <f>ROUND(Levels!R178,1)</f>
        <v>60.4</v>
      </c>
      <c r="G178" s="5">
        <f t="shared" si="26"/>
        <v>-0.3</v>
      </c>
      <c r="H178" s="26" t="str">
        <f t="shared" si="27"/>
        <v>-</v>
      </c>
      <c r="I178" s="5">
        <f t="shared" si="28"/>
        <v>0.4</v>
      </c>
      <c r="J178" s="5">
        <f t="shared" si="29"/>
        <v>0.4</v>
      </c>
      <c r="K178" s="5" t="str">
        <f t="shared" si="30"/>
        <v>Negligible</v>
      </c>
      <c r="L178" s="5">
        <f t="shared" si="31"/>
        <v>0.4</v>
      </c>
      <c r="M178" s="5">
        <f t="shared" si="32"/>
        <v>0.4</v>
      </c>
      <c r="N178" s="20" t="str">
        <f t="shared" si="33"/>
        <v>Negligible</v>
      </c>
      <c r="O178" s="30">
        <f t="shared" si="34"/>
        <v>5.6113150635526687E-3</v>
      </c>
      <c r="P178" s="30">
        <f t="shared" si="35"/>
        <v>5.6113150635526687E-3</v>
      </c>
    </row>
    <row r="179" spans="2:16" x14ac:dyDescent="0.25">
      <c r="B179" t="str">
        <f>Levels!M179</f>
        <v>Manor Close 17</v>
      </c>
      <c r="C179" s="27">
        <f>ROUND(Levels!O179, 1)</f>
        <v>62.7</v>
      </c>
      <c r="D179" s="27">
        <f>ROUND(Levels!Q179, 1)</f>
        <v>63</v>
      </c>
      <c r="E179" s="27">
        <f>ROUND(Levels!P179, 1)</f>
        <v>62</v>
      </c>
      <c r="F179" s="27">
        <f>ROUND(Levels!R179,1)</f>
        <v>62.7</v>
      </c>
      <c r="G179" s="5">
        <f t="shared" si="26"/>
        <v>-0.7</v>
      </c>
      <c r="H179" s="26" t="str">
        <f t="shared" si="27"/>
        <v>-</v>
      </c>
      <c r="I179" s="5">
        <f t="shared" si="28"/>
        <v>0.3</v>
      </c>
      <c r="J179" s="5">
        <f t="shared" si="29"/>
        <v>0.3</v>
      </c>
      <c r="K179" s="5" t="str">
        <f t="shared" si="30"/>
        <v>Negligible</v>
      </c>
      <c r="L179" s="5">
        <f t="shared" si="31"/>
        <v>0</v>
      </c>
      <c r="M179" s="5">
        <f t="shared" si="32"/>
        <v>0</v>
      </c>
      <c r="N179" s="20" t="str">
        <f t="shared" si="33"/>
        <v>No change</v>
      </c>
      <c r="O179" s="30">
        <f t="shared" si="34"/>
        <v>5.2401489469386664E-3</v>
      </c>
      <c r="P179" s="30">
        <f t="shared" si="35"/>
        <v>0</v>
      </c>
    </row>
    <row r="180" spans="2:16" x14ac:dyDescent="0.25">
      <c r="B180" t="str">
        <f>Levels!M180</f>
        <v>Hillcrest Grove 3</v>
      </c>
      <c r="C180" s="27">
        <f>ROUND(Levels!O180, 1)</f>
        <v>64.3</v>
      </c>
      <c r="D180" s="27">
        <f>ROUND(Levels!Q180, 1)</f>
        <v>64.8</v>
      </c>
      <c r="E180" s="27">
        <f>ROUND(Levels!P180, 1)</f>
        <v>64.3</v>
      </c>
      <c r="F180" s="27">
        <f>ROUND(Levels!R180,1)</f>
        <v>65.099999999999994</v>
      </c>
      <c r="G180" s="5">
        <f t="shared" si="26"/>
        <v>0</v>
      </c>
      <c r="H180" s="26" t="str">
        <f t="shared" si="27"/>
        <v>No change</v>
      </c>
      <c r="I180" s="5">
        <f t="shared" si="28"/>
        <v>0.5</v>
      </c>
      <c r="J180" s="5">
        <f t="shared" si="29"/>
        <v>0.5</v>
      </c>
      <c r="K180" s="5" t="str">
        <f t="shared" si="30"/>
        <v>Negligible</v>
      </c>
      <c r="L180" s="5">
        <f t="shared" si="31"/>
        <v>0.8</v>
      </c>
      <c r="M180" s="5">
        <f t="shared" si="32"/>
        <v>0.7</v>
      </c>
      <c r="N180" s="20" t="str">
        <f t="shared" si="33"/>
        <v>Negligible</v>
      </c>
      <c r="O180" s="30">
        <f t="shared" si="34"/>
        <v>9.9016266786234874E-3</v>
      </c>
      <c r="P180" s="30">
        <f t="shared" si="35"/>
        <v>1.6008844800298572E-2</v>
      </c>
    </row>
    <row r="181" spans="2:16" x14ac:dyDescent="0.25">
      <c r="B181" t="str">
        <f>Levels!M181</f>
        <v>Hillcrest Grove 5</v>
      </c>
      <c r="C181" s="27">
        <f>ROUND(Levels!O181, 1)</f>
        <v>64.5</v>
      </c>
      <c r="D181" s="27">
        <f>ROUND(Levels!Q181, 1)</f>
        <v>65.099999999999994</v>
      </c>
      <c r="E181" s="27">
        <f>ROUND(Levels!P181, 1)</f>
        <v>64.599999999999994</v>
      </c>
      <c r="F181" s="27">
        <f>ROUND(Levels!R181,1)</f>
        <v>65.400000000000006</v>
      </c>
      <c r="G181" s="5">
        <f t="shared" si="26"/>
        <v>0.1</v>
      </c>
      <c r="H181" s="26" t="str">
        <f t="shared" si="27"/>
        <v>Negligible</v>
      </c>
      <c r="I181" s="5">
        <f t="shared" si="28"/>
        <v>0.6</v>
      </c>
      <c r="J181" s="5">
        <f t="shared" si="29"/>
        <v>0.5</v>
      </c>
      <c r="K181" s="5" t="str">
        <f t="shared" si="30"/>
        <v>Negligible</v>
      </c>
      <c r="L181" s="5">
        <f t="shared" si="31"/>
        <v>0.9</v>
      </c>
      <c r="M181" s="5">
        <f t="shared" si="32"/>
        <v>0.8</v>
      </c>
      <c r="N181" s="20" t="str">
        <f t="shared" si="33"/>
        <v>Negligible</v>
      </c>
      <c r="O181" s="30">
        <f t="shared" si="34"/>
        <v>1.2089752775087614E-2</v>
      </c>
      <c r="P181" s="30">
        <f t="shared" si="35"/>
        <v>9.8224379670311612E-2</v>
      </c>
    </row>
    <row r="182" spans="2:16" x14ac:dyDescent="0.25">
      <c r="B182" t="str">
        <f>Levels!M182</f>
        <v>Hillcrest Grove 7</v>
      </c>
      <c r="C182" s="27">
        <f>ROUND(Levels!O182, 1)</f>
        <v>64.099999999999994</v>
      </c>
      <c r="D182" s="27">
        <f>ROUND(Levels!Q182, 1)</f>
        <v>64.599999999999994</v>
      </c>
      <c r="E182" s="27">
        <f>ROUND(Levels!P182, 1)</f>
        <v>64</v>
      </c>
      <c r="F182" s="27">
        <f>ROUND(Levels!R182,1)</f>
        <v>64.8</v>
      </c>
      <c r="G182" s="5">
        <f t="shared" si="26"/>
        <v>-0.1</v>
      </c>
      <c r="H182" s="26" t="str">
        <f t="shared" si="27"/>
        <v>-</v>
      </c>
      <c r="I182" s="5">
        <f t="shared" si="28"/>
        <v>0.5</v>
      </c>
      <c r="J182" s="5">
        <f t="shared" si="29"/>
        <v>0.5</v>
      </c>
      <c r="K182" s="5" t="str">
        <f t="shared" si="30"/>
        <v>Negligible</v>
      </c>
      <c r="L182" s="5">
        <f t="shared" si="31"/>
        <v>0.7</v>
      </c>
      <c r="M182" s="5">
        <f t="shared" si="32"/>
        <v>0.6</v>
      </c>
      <c r="N182" s="20" t="str">
        <f t="shared" si="33"/>
        <v>Negligible</v>
      </c>
      <c r="O182" s="30">
        <f t="shared" si="34"/>
        <v>9.7631436831287777E-3</v>
      </c>
      <c r="P182" s="30">
        <f t="shared" si="35"/>
        <v>1.3765355797398238E-2</v>
      </c>
    </row>
    <row r="183" spans="2:16" x14ac:dyDescent="0.25">
      <c r="B183" t="str">
        <f>Levels!M183</f>
        <v>Hillcrest Grove 9</v>
      </c>
      <c r="C183" s="27">
        <f>ROUND(Levels!O183, 1)</f>
        <v>64.3</v>
      </c>
      <c r="D183" s="27">
        <f>ROUND(Levels!Q183, 1)</f>
        <v>64.8</v>
      </c>
      <c r="E183" s="27">
        <f>ROUND(Levels!P183, 1)</f>
        <v>64.2</v>
      </c>
      <c r="F183" s="27">
        <f>ROUND(Levels!R183,1)</f>
        <v>65</v>
      </c>
      <c r="G183" s="5">
        <f t="shared" si="26"/>
        <v>-0.1</v>
      </c>
      <c r="H183" s="26" t="str">
        <f t="shared" si="27"/>
        <v>-</v>
      </c>
      <c r="I183" s="5">
        <f t="shared" si="28"/>
        <v>0.5</v>
      </c>
      <c r="J183" s="5">
        <f t="shared" si="29"/>
        <v>0.5</v>
      </c>
      <c r="K183" s="5" t="str">
        <f t="shared" si="30"/>
        <v>Negligible</v>
      </c>
      <c r="L183" s="5">
        <f t="shared" si="31"/>
        <v>0.7</v>
      </c>
      <c r="M183" s="5">
        <f t="shared" si="32"/>
        <v>0.6</v>
      </c>
      <c r="N183" s="20" t="str">
        <f t="shared" si="33"/>
        <v>Negligible</v>
      </c>
      <c r="O183" s="30">
        <f t="shared" si="34"/>
        <v>9.9016266786234874E-3</v>
      </c>
      <c r="P183" s="30">
        <f t="shared" si="35"/>
        <v>1.3959257042462841E-2</v>
      </c>
    </row>
    <row r="184" spans="2:16" x14ac:dyDescent="0.25">
      <c r="B184" t="str">
        <f>Levels!M184</f>
        <v>Hillcrest Grove 11</v>
      </c>
      <c r="C184" s="27">
        <f>ROUND(Levels!O184, 1)</f>
        <v>64.3</v>
      </c>
      <c r="D184" s="27">
        <f>ROUND(Levels!Q184, 1)</f>
        <v>64.900000000000006</v>
      </c>
      <c r="E184" s="27">
        <f>ROUND(Levels!P184, 1)</f>
        <v>64.2</v>
      </c>
      <c r="F184" s="27">
        <f>ROUND(Levels!R184,1)</f>
        <v>65</v>
      </c>
      <c r="G184" s="5">
        <f t="shared" si="26"/>
        <v>-0.1</v>
      </c>
      <c r="H184" s="26" t="str">
        <f t="shared" si="27"/>
        <v>-</v>
      </c>
      <c r="I184" s="5">
        <f t="shared" si="28"/>
        <v>0.6</v>
      </c>
      <c r="J184" s="5">
        <f t="shared" si="29"/>
        <v>0.5</v>
      </c>
      <c r="K184" s="5" t="str">
        <f t="shared" si="30"/>
        <v>Negligible</v>
      </c>
      <c r="L184" s="5">
        <f t="shared" si="31"/>
        <v>0.7</v>
      </c>
      <c r="M184" s="5">
        <f t="shared" si="32"/>
        <v>0.6</v>
      </c>
      <c r="N184" s="20" t="str">
        <f t="shared" si="33"/>
        <v>Negligible</v>
      </c>
      <c r="O184" s="30">
        <f t="shared" si="34"/>
        <v>1.1923515921210021E-2</v>
      </c>
      <c r="P184" s="30">
        <f t="shared" si="35"/>
        <v>1.3959257042462841E-2</v>
      </c>
    </row>
    <row r="185" spans="2:16" x14ac:dyDescent="0.25">
      <c r="B185" t="str">
        <f>Levels!M185</f>
        <v>Hillcrest Grove 11</v>
      </c>
      <c r="C185" s="27">
        <f>ROUND(Levels!O185, 1)</f>
        <v>64</v>
      </c>
      <c r="D185" s="27">
        <f>ROUND(Levels!Q185, 1)</f>
        <v>64.599999999999994</v>
      </c>
      <c r="E185" s="27">
        <f>ROUND(Levels!P185, 1)</f>
        <v>64</v>
      </c>
      <c r="F185" s="27">
        <f>ROUND(Levels!R185,1)</f>
        <v>64.7</v>
      </c>
      <c r="G185" s="5">
        <f t="shared" si="26"/>
        <v>0</v>
      </c>
      <c r="H185" s="26" t="str">
        <f t="shared" si="27"/>
        <v>No change</v>
      </c>
      <c r="I185" s="5">
        <f t="shared" si="28"/>
        <v>0.6</v>
      </c>
      <c r="J185" s="5">
        <f t="shared" si="29"/>
        <v>0.5</v>
      </c>
      <c r="K185" s="5" t="str">
        <f t="shared" si="30"/>
        <v>Negligible</v>
      </c>
      <c r="L185" s="5">
        <f t="shared" si="31"/>
        <v>0.7</v>
      </c>
      <c r="M185" s="5">
        <f t="shared" si="32"/>
        <v>0.6</v>
      </c>
      <c r="N185" s="20" t="str">
        <f t="shared" si="33"/>
        <v>Negligible</v>
      </c>
      <c r="O185" s="30">
        <f t="shared" si="34"/>
        <v>1.1674269657360431E-2</v>
      </c>
      <c r="P185" s="30">
        <f t="shared" si="35"/>
        <v>1.3668447597674716E-2</v>
      </c>
    </row>
    <row r="186" spans="2:16" x14ac:dyDescent="0.25">
      <c r="B186" t="str">
        <f>Levels!M186</f>
        <v>Hillcrest Grove 11</v>
      </c>
      <c r="C186" s="27">
        <f>ROUND(Levels!O186, 1)</f>
        <v>63.9</v>
      </c>
      <c r="D186" s="27">
        <f>ROUND(Levels!Q186, 1)</f>
        <v>64.5</v>
      </c>
      <c r="E186" s="27">
        <f>ROUND(Levels!P186, 1)</f>
        <v>63.8</v>
      </c>
      <c r="F186" s="27">
        <f>ROUND(Levels!R186,1)</f>
        <v>64.599999999999994</v>
      </c>
      <c r="G186" s="5">
        <f t="shared" si="26"/>
        <v>-0.1</v>
      </c>
      <c r="H186" s="26" t="str">
        <f t="shared" si="27"/>
        <v>-</v>
      </c>
      <c r="I186" s="5">
        <f t="shared" si="28"/>
        <v>0.6</v>
      </c>
      <c r="J186" s="5">
        <f t="shared" si="29"/>
        <v>0.5</v>
      </c>
      <c r="K186" s="5" t="str">
        <f t="shared" si="30"/>
        <v>Negligible</v>
      </c>
      <c r="L186" s="5">
        <f t="shared" si="31"/>
        <v>0.7</v>
      </c>
      <c r="M186" s="5">
        <f t="shared" si="32"/>
        <v>0.6</v>
      </c>
      <c r="N186" s="20" t="str">
        <f t="shared" si="33"/>
        <v>Negligible</v>
      </c>
      <c r="O186" s="30">
        <f t="shared" si="34"/>
        <v>1.1591263060716145E-2</v>
      </c>
      <c r="P186" s="30">
        <f t="shared" si="35"/>
        <v>1.3571585599859215E-2</v>
      </c>
    </row>
    <row r="187" spans="2:16" x14ac:dyDescent="0.25">
      <c r="B187" t="str">
        <f>Levels!M187</f>
        <v>Hillcrest Grove 11</v>
      </c>
      <c r="C187" s="27">
        <f>ROUND(Levels!O187, 1)</f>
        <v>64.099999999999994</v>
      </c>
      <c r="D187" s="27">
        <f>ROUND(Levels!Q187, 1)</f>
        <v>64.599999999999994</v>
      </c>
      <c r="E187" s="27">
        <f>ROUND(Levels!P187, 1)</f>
        <v>64</v>
      </c>
      <c r="F187" s="27">
        <f>ROUND(Levels!R187,1)</f>
        <v>64.7</v>
      </c>
      <c r="G187" s="5">
        <f t="shared" si="26"/>
        <v>-0.1</v>
      </c>
      <c r="H187" s="26" t="str">
        <f t="shared" si="27"/>
        <v>-</v>
      </c>
      <c r="I187" s="5">
        <f t="shared" si="28"/>
        <v>0.5</v>
      </c>
      <c r="J187" s="5">
        <f t="shared" si="29"/>
        <v>0.5</v>
      </c>
      <c r="K187" s="5" t="str">
        <f t="shared" si="30"/>
        <v>Negligible</v>
      </c>
      <c r="L187" s="5">
        <f t="shared" si="31"/>
        <v>0.6</v>
      </c>
      <c r="M187" s="5">
        <f t="shared" si="32"/>
        <v>0.5</v>
      </c>
      <c r="N187" s="20" t="str">
        <f t="shared" si="33"/>
        <v>Negligible</v>
      </c>
      <c r="O187" s="30">
        <f t="shared" si="34"/>
        <v>9.7631436831287777E-3</v>
      </c>
      <c r="P187" s="30">
        <f t="shared" si="35"/>
        <v>1.1757321623443062E-2</v>
      </c>
    </row>
    <row r="188" spans="2:16" x14ac:dyDescent="0.25">
      <c r="B188" t="str">
        <f>Levels!M188</f>
        <v>Hillcrest Grove 4</v>
      </c>
      <c r="C188" s="27">
        <f>ROUND(Levels!O188, 1)</f>
        <v>63.8</v>
      </c>
      <c r="D188" s="27">
        <f>ROUND(Levels!Q188, 1)</f>
        <v>64.2</v>
      </c>
      <c r="E188" s="27">
        <f>ROUND(Levels!P188, 1)</f>
        <v>63.7</v>
      </c>
      <c r="F188" s="27">
        <f>ROUND(Levels!R188,1)</f>
        <v>64.5</v>
      </c>
      <c r="G188" s="5">
        <f t="shared" si="26"/>
        <v>-0.1</v>
      </c>
      <c r="H188" s="26" t="str">
        <f t="shared" si="27"/>
        <v>-</v>
      </c>
      <c r="I188" s="5">
        <f t="shared" si="28"/>
        <v>0.4</v>
      </c>
      <c r="J188" s="5">
        <f t="shared" si="29"/>
        <v>0.4</v>
      </c>
      <c r="K188" s="5" t="str">
        <f t="shared" si="30"/>
        <v>Negligible</v>
      </c>
      <c r="L188" s="5">
        <f t="shared" si="31"/>
        <v>0.7</v>
      </c>
      <c r="M188" s="5">
        <f t="shared" si="32"/>
        <v>0.6</v>
      </c>
      <c r="N188" s="20" t="str">
        <f t="shared" si="33"/>
        <v>Negligible</v>
      </c>
      <c r="O188" s="30">
        <f t="shared" si="34"/>
        <v>7.6169100828070713E-3</v>
      </c>
      <c r="P188" s="30">
        <f t="shared" si="35"/>
        <v>1.3474782995236578E-2</v>
      </c>
    </row>
    <row r="189" spans="2:16" x14ac:dyDescent="0.25">
      <c r="B189" t="str">
        <f>Levels!M189</f>
        <v>Hillcrest Grove 4</v>
      </c>
      <c r="C189" s="27">
        <f>ROUND(Levels!O189, 1)</f>
        <v>60.8</v>
      </c>
      <c r="D189" s="27">
        <f>ROUND(Levels!Q189, 1)</f>
        <v>61.3</v>
      </c>
      <c r="E189" s="27">
        <f>ROUND(Levels!P189, 1)</f>
        <v>60.8</v>
      </c>
      <c r="F189" s="27">
        <f>ROUND(Levels!R189,1)</f>
        <v>61.6</v>
      </c>
      <c r="G189" s="5">
        <f t="shared" si="26"/>
        <v>0</v>
      </c>
      <c r="H189" s="26" t="str">
        <f t="shared" si="27"/>
        <v>No change</v>
      </c>
      <c r="I189" s="5">
        <f t="shared" si="28"/>
        <v>0.5</v>
      </c>
      <c r="J189" s="5">
        <f t="shared" si="29"/>
        <v>0.5</v>
      </c>
      <c r="K189" s="5" t="str">
        <f t="shared" si="30"/>
        <v>Negligible</v>
      </c>
      <c r="L189" s="5">
        <f t="shared" si="31"/>
        <v>0.8</v>
      </c>
      <c r="M189" s="5">
        <f t="shared" si="32"/>
        <v>0.7</v>
      </c>
      <c r="N189" s="20" t="str">
        <f t="shared" si="33"/>
        <v>Negligible</v>
      </c>
      <c r="O189" s="30">
        <f t="shared" si="34"/>
        <v>7.5467380177309529E-3</v>
      </c>
      <c r="P189" s="30">
        <f t="shared" si="35"/>
        <v>1.2229123159369526E-2</v>
      </c>
    </row>
    <row r="190" spans="2:16" x14ac:dyDescent="0.25">
      <c r="B190" t="str">
        <f>Levels!M190</f>
        <v>Hillcrest Grove 4</v>
      </c>
      <c r="C190" s="27">
        <f>ROUND(Levels!O190, 1)</f>
        <v>60.8</v>
      </c>
      <c r="D190" s="27">
        <f>ROUND(Levels!Q190, 1)</f>
        <v>61.3</v>
      </c>
      <c r="E190" s="27">
        <f>ROUND(Levels!P190, 1)</f>
        <v>60.8</v>
      </c>
      <c r="F190" s="27">
        <f>ROUND(Levels!R190,1)</f>
        <v>61.5</v>
      </c>
      <c r="G190" s="5">
        <f t="shared" si="26"/>
        <v>0</v>
      </c>
      <c r="H190" s="26" t="str">
        <f t="shared" si="27"/>
        <v>No change</v>
      </c>
      <c r="I190" s="5">
        <f t="shared" si="28"/>
        <v>0.5</v>
      </c>
      <c r="J190" s="5">
        <f t="shared" si="29"/>
        <v>0.5</v>
      </c>
      <c r="K190" s="5" t="str">
        <f t="shared" si="30"/>
        <v>Negligible</v>
      </c>
      <c r="L190" s="5">
        <f t="shared" si="31"/>
        <v>0.7</v>
      </c>
      <c r="M190" s="5">
        <f t="shared" si="32"/>
        <v>0.6</v>
      </c>
      <c r="N190" s="20" t="str">
        <f t="shared" si="33"/>
        <v>Negligible</v>
      </c>
      <c r="O190" s="30">
        <f t="shared" si="34"/>
        <v>7.5467380177309529E-3</v>
      </c>
      <c r="P190" s="30">
        <f t="shared" si="35"/>
        <v>1.0655347551386724E-2</v>
      </c>
    </row>
  </sheetData>
  <mergeCells count="5">
    <mergeCell ref="I2:J2"/>
    <mergeCell ref="L2:M2"/>
    <mergeCell ref="T46:U46"/>
    <mergeCell ref="T47:T51"/>
    <mergeCell ref="T53:T57"/>
  </mergeCells>
  <conditionalFormatting sqref="G4:G190">
    <cfRule type="cellIs" dxfId="2" priority="3" operator="greaterThan">
      <formula>0.9</formula>
    </cfRule>
  </conditionalFormatting>
  <conditionalFormatting sqref="I191:K191 I4:J190">
    <cfRule type="cellIs" dxfId="1" priority="2" operator="greaterThan">
      <formula>2.9</formula>
    </cfRule>
  </conditionalFormatting>
  <conditionalFormatting sqref="I4:J190 L4:M190">
    <cfRule type="cellIs" dxfId="0" priority="1" operator="greaterThan">
      <formula>2.9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6EA0C-27DE-4FD7-B6D0-5E472CA66DB4}">
  <sheetPr codeName="Sheet4"/>
  <dimension ref="B3:N34"/>
  <sheetViews>
    <sheetView workbookViewId="0">
      <selection activeCell="M30" sqref="M30"/>
    </sheetView>
  </sheetViews>
  <sheetFormatPr defaultRowHeight="15" x14ac:dyDescent="0.25"/>
  <sheetData>
    <row r="3" spans="2:14" x14ac:dyDescent="0.25">
      <c r="B3" t="s">
        <v>253</v>
      </c>
      <c r="E3" t="s">
        <v>254</v>
      </c>
    </row>
    <row r="4" spans="2:14" x14ac:dyDescent="0.25">
      <c r="B4" t="s">
        <v>255</v>
      </c>
      <c r="C4" t="s">
        <v>256</v>
      </c>
      <c r="D4" t="s">
        <v>257</v>
      </c>
      <c r="E4" t="s">
        <v>258</v>
      </c>
    </row>
    <row r="5" spans="2:14" x14ac:dyDescent="0.25">
      <c r="E5" t="s">
        <v>259</v>
      </c>
    </row>
    <row r="6" spans="2:14" x14ac:dyDescent="0.25">
      <c r="B6" t="s">
        <v>260</v>
      </c>
      <c r="C6" t="s">
        <v>261</v>
      </c>
      <c r="D6" t="s">
        <v>262</v>
      </c>
      <c r="E6">
        <v>50.7</v>
      </c>
      <c r="G6">
        <f t="array" ref="G6">10*LOG10(SUM(10^(E6:E34/10)))</f>
        <v>62.536467805067097</v>
      </c>
      <c r="H6" t="s">
        <v>292</v>
      </c>
    </row>
    <row r="7" spans="2:14" x14ac:dyDescent="0.25">
      <c r="B7" t="s">
        <v>263</v>
      </c>
      <c r="C7" t="s">
        <v>261</v>
      </c>
      <c r="D7" t="s">
        <v>262</v>
      </c>
      <c r="E7">
        <v>54.2</v>
      </c>
    </row>
    <row r="8" spans="2:14" x14ac:dyDescent="0.25">
      <c r="B8" t="s">
        <v>264</v>
      </c>
      <c r="C8" t="s">
        <v>261</v>
      </c>
      <c r="D8" t="s">
        <v>262</v>
      </c>
      <c r="E8">
        <v>44.6</v>
      </c>
    </row>
    <row r="9" spans="2:14" x14ac:dyDescent="0.25">
      <c r="B9" t="s">
        <v>265</v>
      </c>
      <c r="C9" t="s">
        <v>261</v>
      </c>
      <c r="D9" t="s">
        <v>262</v>
      </c>
      <c r="E9">
        <v>30.6</v>
      </c>
    </row>
    <row r="10" spans="2:14" x14ac:dyDescent="0.25">
      <c r="B10" t="s">
        <v>266</v>
      </c>
      <c r="C10" t="s">
        <v>261</v>
      </c>
      <c r="D10" t="s">
        <v>262</v>
      </c>
      <c r="E10">
        <v>22.1</v>
      </c>
    </row>
    <row r="11" spans="2:14" x14ac:dyDescent="0.25">
      <c r="B11" t="s">
        <v>267</v>
      </c>
      <c r="C11" t="s">
        <v>261</v>
      </c>
      <c r="D11" t="s">
        <v>262</v>
      </c>
      <c r="E11">
        <v>23.2</v>
      </c>
    </row>
    <row r="12" spans="2:14" x14ac:dyDescent="0.25">
      <c r="B12" t="s">
        <v>268</v>
      </c>
      <c r="C12" t="s">
        <v>261</v>
      </c>
      <c r="D12" t="s">
        <v>262</v>
      </c>
      <c r="E12">
        <v>9.1</v>
      </c>
    </row>
    <row r="13" spans="2:14" x14ac:dyDescent="0.25">
      <c r="B13" t="s">
        <v>269</v>
      </c>
      <c r="C13" t="s">
        <v>261</v>
      </c>
      <c r="D13" t="s">
        <v>262</v>
      </c>
      <c r="E13">
        <v>0.8</v>
      </c>
    </row>
    <row r="14" spans="2:14" x14ac:dyDescent="0.25">
      <c r="B14" t="s">
        <v>270</v>
      </c>
      <c r="C14" t="s">
        <v>261</v>
      </c>
      <c r="D14" t="s">
        <v>262</v>
      </c>
      <c r="E14">
        <v>26.5</v>
      </c>
    </row>
    <row r="15" spans="2:14" x14ac:dyDescent="0.25">
      <c r="B15" t="s">
        <v>271</v>
      </c>
      <c r="C15" t="s">
        <v>261</v>
      </c>
      <c r="D15" t="s">
        <v>262</v>
      </c>
      <c r="E15">
        <v>13.4</v>
      </c>
      <c r="L15">
        <v>73</v>
      </c>
      <c r="M15">
        <f>10^(L15/10)</f>
        <v>19952623.149688821</v>
      </c>
    </row>
    <row r="16" spans="2:14" x14ac:dyDescent="0.25">
      <c r="B16" t="s">
        <v>272</v>
      </c>
      <c r="C16" t="s">
        <v>261</v>
      </c>
      <c r="D16" t="s">
        <v>262</v>
      </c>
      <c r="E16">
        <v>16.3</v>
      </c>
      <c r="L16">
        <v>70</v>
      </c>
      <c r="M16">
        <f>10^(L16/10)</f>
        <v>10000000</v>
      </c>
      <c r="N16">
        <f>10*LOG10(SUM(M15:M16))</f>
        <v>74.764348624364857</v>
      </c>
    </row>
    <row r="17" spans="2:7" x14ac:dyDescent="0.25">
      <c r="B17" t="s">
        <v>273</v>
      </c>
      <c r="C17" t="s">
        <v>261</v>
      </c>
      <c r="D17" t="s">
        <v>262</v>
      </c>
      <c r="E17">
        <v>2.8</v>
      </c>
    </row>
    <row r="18" spans="2:7" x14ac:dyDescent="0.25">
      <c r="B18" t="s">
        <v>274</v>
      </c>
      <c r="C18" t="s">
        <v>275</v>
      </c>
      <c r="D18" t="s">
        <v>262</v>
      </c>
    </row>
    <row r="19" spans="2:7" x14ac:dyDescent="0.25">
      <c r="B19" t="s">
        <v>276</v>
      </c>
      <c r="C19" t="s">
        <v>261</v>
      </c>
      <c r="D19" t="s">
        <v>262</v>
      </c>
      <c r="E19">
        <v>30.4</v>
      </c>
    </row>
    <row r="20" spans="2:7" x14ac:dyDescent="0.25">
      <c r="B20" t="s">
        <v>277</v>
      </c>
      <c r="C20" t="s">
        <v>261</v>
      </c>
      <c r="D20" t="s">
        <v>262</v>
      </c>
      <c r="E20">
        <v>8.9</v>
      </c>
    </row>
    <row r="21" spans="2:7" x14ac:dyDescent="0.25">
      <c r="B21" t="s">
        <v>278</v>
      </c>
      <c r="C21" t="s">
        <v>261</v>
      </c>
      <c r="D21" t="s">
        <v>262</v>
      </c>
      <c r="E21">
        <v>33.9</v>
      </c>
    </row>
    <row r="22" spans="2:7" x14ac:dyDescent="0.25">
      <c r="B22" t="s">
        <v>279</v>
      </c>
      <c r="C22" t="s">
        <v>261</v>
      </c>
      <c r="D22" t="s">
        <v>262</v>
      </c>
      <c r="E22">
        <v>27.5</v>
      </c>
    </row>
    <row r="23" spans="2:7" x14ac:dyDescent="0.25">
      <c r="B23" t="s">
        <v>280</v>
      </c>
      <c r="C23" t="s">
        <v>261</v>
      </c>
      <c r="D23" t="s">
        <v>262</v>
      </c>
      <c r="E23">
        <v>57.1</v>
      </c>
      <c r="G23">
        <f t="array" ref="G23">10*LOG10(SUM(10^(E23:E24/10)))</f>
        <v>59.639018910438679</v>
      </c>
    </row>
    <row r="24" spans="2:7" x14ac:dyDescent="0.25">
      <c r="B24" t="s">
        <v>281</v>
      </c>
      <c r="C24" t="s">
        <v>261</v>
      </c>
      <c r="D24" t="s">
        <v>262</v>
      </c>
      <c r="E24">
        <v>56.1</v>
      </c>
    </row>
    <row r="25" spans="2:7" x14ac:dyDescent="0.25">
      <c r="B25" t="s">
        <v>282</v>
      </c>
      <c r="C25" t="s">
        <v>261</v>
      </c>
      <c r="D25" t="s">
        <v>262</v>
      </c>
      <c r="E25">
        <v>51.3</v>
      </c>
    </row>
    <row r="26" spans="2:7" x14ac:dyDescent="0.25">
      <c r="B26" t="s">
        <v>283</v>
      </c>
      <c r="C26" t="s">
        <v>261</v>
      </c>
      <c r="D26" t="s">
        <v>262</v>
      </c>
      <c r="E26">
        <v>51</v>
      </c>
    </row>
    <row r="27" spans="2:7" x14ac:dyDescent="0.25">
      <c r="B27" t="s">
        <v>284</v>
      </c>
      <c r="C27" t="s">
        <v>261</v>
      </c>
      <c r="D27" t="s">
        <v>262</v>
      </c>
      <c r="E27">
        <v>51.5</v>
      </c>
    </row>
    <row r="28" spans="2:7" x14ac:dyDescent="0.25">
      <c r="B28" t="s">
        <v>285</v>
      </c>
      <c r="C28" t="s">
        <v>261</v>
      </c>
      <c r="D28" t="s">
        <v>262</v>
      </c>
      <c r="E28">
        <v>41.3</v>
      </c>
    </row>
    <row r="29" spans="2:7" x14ac:dyDescent="0.25">
      <c r="B29" t="s">
        <v>286</v>
      </c>
      <c r="C29" t="s">
        <v>261</v>
      </c>
      <c r="D29" t="s">
        <v>262</v>
      </c>
      <c r="E29">
        <v>19.399999999999999</v>
      </c>
    </row>
    <row r="30" spans="2:7" x14ac:dyDescent="0.25">
      <c r="B30" t="s">
        <v>287</v>
      </c>
      <c r="C30" t="s">
        <v>261</v>
      </c>
      <c r="D30" t="s">
        <v>262</v>
      </c>
      <c r="E30">
        <v>17.399999999999999</v>
      </c>
    </row>
    <row r="31" spans="2:7" x14ac:dyDescent="0.25">
      <c r="B31" t="s">
        <v>288</v>
      </c>
      <c r="C31" t="s">
        <v>261</v>
      </c>
      <c r="D31" t="s">
        <v>262</v>
      </c>
      <c r="E31">
        <v>7.2</v>
      </c>
    </row>
    <row r="32" spans="2:7" x14ac:dyDescent="0.25">
      <c r="B32" t="s">
        <v>289</v>
      </c>
      <c r="C32" t="s">
        <v>261</v>
      </c>
      <c r="D32" t="s">
        <v>262</v>
      </c>
      <c r="E32">
        <v>3.5</v>
      </c>
    </row>
    <row r="33" spans="2:5" x14ac:dyDescent="0.25">
      <c r="B33" t="s">
        <v>290</v>
      </c>
      <c r="C33" t="s">
        <v>261</v>
      </c>
      <c r="D33" t="s">
        <v>262</v>
      </c>
      <c r="E33">
        <v>43.4</v>
      </c>
    </row>
    <row r="34" spans="2:5" x14ac:dyDescent="0.25">
      <c r="B34" t="s">
        <v>291</v>
      </c>
      <c r="C34" t="s">
        <v>261</v>
      </c>
      <c r="D34" t="s">
        <v>262</v>
      </c>
      <c r="E34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Building Insul Reg</vt:lpstr>
      <vt:lpstr>DMRB assessment</vt:lpstr>
      <vt:lpstr>CRTN survey and Cadna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Weigang Wei</dc:creator>
  <cp:lastModifiedBy>Weigang Wei</cp:lastModifiedBy>
  <dcterms:created xsi:type="dcterms:W3CDTF">2016-06-12T10:21:44Z</dcterms:created>
  <dcterms:modified xsi:type="dcterms:W3CDTF">2017-11-03T13:06:00Z</dcterms:modified>
</cp:coreProperties>
</file>